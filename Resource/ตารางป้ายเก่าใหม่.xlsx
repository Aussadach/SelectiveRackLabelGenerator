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HARE\PE\Project\2025\WMX-WIP PS\"/>
    </mc:Choice>
  </mc:AlternateContent>
  <xr:revisionPtr revIDLastSave="0" documentId="13_ncr:1_{4BBF7362-8930-4496-B447-5EC9C5249920}" xr6:coauthVersionLast="47" xr6:coauthVersionMax="47" xr10:uidLastSave="{00000000-0000-0000-0000-000000000000}"/>
  <bookViews>
    <workbookView xWindow="-120" yWindow="-120" windowWidth="29040" windowHeight="15720" xr2:uid="{746D2AEB-0AB6-44A2-9F6C-357080A9EC1E}"/>
  </bookViews>
  <sheets>
    <sheet name="NewPosition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K99" i="1"/>
  <c r="K100" i="1"/>
  <c r="K101" i="1"/>
  <c r="K227" i="1"/>
  <c r="K297" i="1"/>
  <c r="K304" i="1"/>
  <c r="K379" i="1"/>
  <c r="K386" i="1"/>
  <c r="K400" i="1"/>
  <c r="K416" i="1"/>
  <c r="K417" i="1"/>
  <c r="K418" i="1"/>
  <c r="K507" i="1"/>
  <c r="K508" i="1"/>
  <c r="K536" i="1"/>
  <c r="K547" i="1"/>
  <c r="K548" i="1"/>
  <c r="K549" i="1"/>
  <c r="K659" i="1"/>
  <c r="K660" i="1"/>
  <c r="K661" i="1"/>
  <c r="K662" i="1"/>
  <c r="K701" i="1"/>
  <c r="K70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G3" i="1"/>
  <c r="K3" i="1" s="1"/>
  <c r="G4" i="1"/>
  <c r="K4" i="1" s="1"/>
  <c r="G5" i="1"/>
  <c r="K5" i="1" s="1"/>
  <c r="G6" i="1"/>
  <c r="K6" i="1" s="1"/>
  <c r="G7" i="1"/>
  <c r="K7" i="1" s="1"/>
  <c r="G8" i="1"/>
  <c r="K8" i="1" s="1"/>
  <c r="G9" i="1"/>
  <c r="K9" i="1" s="1"/>
  <c r="G10" i="1"/>
  <c r="K10" i="1" s="1"/>
  <c r="G11" i="1"/>
  <c r="K11" i="1" s="1"/>
  <c r="G12" i="1"/>
  <c r="K12" i="1" s="1"/>
  <c r="G13" i="1"/>
  <c r="K13" i="1" s="1"/>
  <c r="G14" i="1"/>
  <c r="K14" i="1" s="1"/>
  <c r="G15" i="1"/>
  <c r="K15" i="1" s="1"/>
  <c r="G16" i="1"/>
  <c r="K16" i="1" s="1"/>
  <c r="G17" i="1"/>
  <c r="K17" i="1" s="1"/>
  <c r="G18" i="1"/>
  <c r="K18" i="1" s="1"/>
  <c r="G19" i="1"/>
  <c r="K19" i="1" s="1"/>
  <c r="G20" i="1"/>
  <c r="K20" i="1" s="1"/>
  <c r="G21" i="1"/>
  <c r="K21" i="1" s="1"/>
  <c r="G22" i="1"/>
  <c r="K22" i="1" s="1"/>
  <c r="G23" i="1"/>
  <c r="K23" i="1" s="1"/>
  <c r="G24" i="1"/>
  <c r="K24" i="1" s="1"/>
  <c r="G25" i="1"/>
  <c r="K25" i="1" s="1"/>
  <c r="G26" i="1"/>
  <c r="K26" i="1" s="1"/>
  <c r="G27" i="1"/>
  <c r="K27" i="1" s="1"/>
  <c r="G28" i="1"/>
  <c r="K28" i="1" s="1"/>
  <c r="G29" i="1"/>
  <c r="K29" i="1" s="1"/>
  <c r="G30" i="1"/>
  <c r="K30" i="1" s="1"/>
  <c r="G31" i="1"/>
  <c r="K31" i="1" s="1"/>
  <c r="G32" i="1"/>
  <c r="K32" i="1" s="1"/>
  <c r="G33" i="1"/>
  <c r="K33" i="1" s="1"/>
  <c r="G34" i="1"/>
  <c r="K34" i="1" s="1"/>
  <c r="G35" i="1"/>
  <c r="K35" i="1" s="1"/>
  <c r="G36" i="1"/>
  <c r="K36" i="1" s="1"/>
  <c r="G37" i="1"/>
  <c r="K37" i="1" s="1"/>
  <c r="G38" i="1"/>
  <c r="K38" i="1" s="1"/>
  <c r="G39" i="1"/>
  <c r="K39" i="1" s="1"/>
  <c r="G40" i="1"/>
  <c r="K40" i="1" s="1"/>
  <c r="G41" i="1"/>
  <c r="K41" i="1" s="1"/>
  <c r="G42" i="1"/>
  <c r="K42" i="1" s="1"/>
  <c r="G43" i="1"/>
  <c r="K43" i="1" s="1"/>
  <c r="G44" i="1"/>
  <c r="K44" i="1" s="1"/>
  <c r="G45" i="1"/>
  <c r="K45" i="1" s="1"/>
  <c r="G46" i="1"/>
  <c r="K46" i="1" s="1"/>
  <c r="G47" i="1"/>
  <c r="K47" i="1" s="1"/>
  <c r="G48" i="1"/>
  <c r="K48" i="1" s="1"/>
  <c r="G49" i="1"/>
  <c r="K49" i="1" s="1"/>
  <c r="G50" i="1"/>
  <c r="K50" i="1" s="1"/>
  <c r="G51" i="1"/>
  <c r="K51" i="1" s="1"/>
  <c r="G52" i="1"/>
  <c r="K52" i="1" s="1"/>
  <c r="G53" i="1"/>
  <c r="K53" i="1" s="1"/>
  <c r="G54" i="1"/>
  <c r="K54" i="1" s="1"/>
  <c r="G55" i="1"/>
  <c r="K55" i="1" s="1"/>
  <c r="G56" i="1"/>
  <c r="K56" i="1" s="1"/>
  <c r="G57" i="1"/>
  <c r="K57" i="1" s="1"/>
  <c r="G58" i="1"/>
  <c r="K58" i="1" s="1"/>
  <c r="G59" i="1"/>
  <c r="K59" i="1" s="1"/>
  <c r="G60" i="1"/>
  <c r="K60" i="1" s="1"/>
  <c r="G61" i="1"/>
  <c r="K61" i="1" s="1"/>
  <c r="G62" i="1"/>
  <c r="K62" i="1" s="1"/>
  <c r="G63" i="1"/>
  <c r="K63" i="1" s="1"/>
  <c r="G64" i="1"/>
  <c r="K64" i="1" s="1"/>
  <c r="G65" i="1"/>
  <c r="K65" i="1" s="1"/>
  <c r="G66" i="1"/>
  <c r="K66" i="1" s="1"/>
  <c r="G67" i="1"/>
  <c r="K67" i="1" s="1"/>
  <c r="G68" i="1"/>
  <c r="K68" i="1" s="1"/>
  <c r="G69" i="1"/>
  <c r="K69" i="1" s="1"/>
  <c r="G70" i="1"/>
  <c r="K70" i="1" s="1"/>
  <c r="G71" i="1"/>
  <c r="K71" i="1" s="1"/>
  <c r="G72" i="1"/>
  <c r="K72" i="1" s="1"/>
  <c r="G73" i="1"/>
  <c r="K73" i="1" s="1"/>
  <c r="G74" i="1"/>
  <c r="K74" i="1" s="1"/>
  <c r="G75" i="1"/>
  <c r="K75" i="1" s="1"/>
  <c r="G76" i="1"/>
  <c r="K76" i="1" s="1"/>
  <c r="G77" i="1"/>
  <c r="K77" i="1" s="1"/>
  <c r="G78" i="1"/>
  <c r="K78" i="1" s="1"/>
  <c r="G79" i="1"/>
  <c r="K79" i="1" s="1"/>
  <c r="G80" i="1"/>
  <c r="K80" i="1" s="1"/>
  <c r="G81" i="1"/>
  <c r="K81" i="1" s="1"/>
  <c r="G82" i="1"/>
  <c r="K82" i="1" s="1"/>
  <c r="G83" i="1"/>
  <c r="K83" i="1" s="1"/>
  <c r="G84" i="1"/>
  <c r="K84" i="1" s="1"/>
  <c r="G85" i="1"/>
  <c r="K85" i="1" s="1"/>
  <c r="G86" i="1"/>
  <c r="K86" i="1" s="1"/>
  <c r="G87" i="1"/>
  <c r="K87" i="1" s="1"/>
  <c r="G88" i="1"/>
  <c r="K88" i="1" s="1"/>
  <c r="G89" i="1"/>
  <c r="K89" i="1" s="1"/>
  <c r="G90" i="1"/>
  <c r="K90" i="1" s="1"/>
  <c r="G91" i="1"/>
  <c r="K91" i="1" s="1"/>
  <c r="G92" i="1"/>
  <c r="K92" i="1" s="1"/>
  <c r="G93" i="1"/>
  <c r="K93" i="1" s="1"/>
  <c r="G94" i="1"/>
  <c r="K94" i="1" s="1"/>
  <c r="G95" i="1"/>
  <c r="K95" i="1" s="1"/>
  <c r="G96" i="1"/>
  <c r="K96" i="1" s="1"/>
  <c r="G97" i="1"/>
  <c r="K97" i="1" s="1"/>
  <c r="G98" i="1"/>
  <c r="K98" i="1" s="1"/>
  <c r="G99" i="1"/>
  <c r="G100" i="1"/>
  <c r="G101" i="1"/>
  <c r="G102" i="1"/>
  <c r="K102" i="1" s="1"/>
  <c r="G103" i="1"/>
  <c r="K103" i="1" s="1"/>
  <c r="G104" i="1"/>
  <c r="K104" i="1" s="1"/>
  <c r="G105" i="1"/>
  <c r="K105" i="1" s="1"/>
  <c r="G106" i="1"/>
  <c r="K106" i="1" s="1"/>
  <c r="G107" i="1"/>
  <c r="K107" i="1" s="1"/>
  <c r="G108" i="1"/>
  <c r="K108" i="1" s="1"/>
  <c r="G109" i="1"/>
  <c r="K109" i="1" s="1"/>
  <c r="G110" i="1"/>
  <c r="K110" i="1" s="1"/>
  <c r="G111" i="1"/>
  <c r="K111" i="1" s="1"/>
  <c r="G112" i="1"/>
  <c r="K112" i="1" s="1"/>
  <c r="G113" i="1"/>
  <c r="K113" i="1" s="1"/>
  <c r="G114" i="1"/>
  <c r="K114" i="1" s="1"/>
  <c r="G115" i="1"/>
  <c r="K115" i="1" s="1"/>
  <c r="G116" i="1"/>
  <c r="K116" i="1" s="1"/>
  <c r="G117" i="1"/>
  <c r="K117" i="1" s="1"/>
  <c r="G118" i="1"/>
  <c r="K118" i="1" s="1"/>
  <c r="G119" i="1"/>
  <c r="K119" i="1" s="1"/>
  <c r="G120" i="1"/>
  <c r="K120" i="1" s="1"/>
  <c r="G121" i="1"/>
  <c r="K121" i="1" s="1"/>
  <c r="G122" i="1"/>
  <c r="K122" i="1" s="1"/>
  <c r="G123" i="1"/>
  <c r="K123" i="1" s="1"/>
  <c r="G124" i="1"/>
  <c r="K124" i="1" s="1"/>
  <c r="G125" i="1"/>
  <c r="K125" i="1" s="1"/>
  <c r="G126" i="1"/>
  <c r="K126" i="1" s="1"/>
  <c r="G127" i="1"/>
  <c r="K127" i="1" s="1"/>
  <c r="G128" i="1"/>
  <c r="K128" i="1" s="1"/>
  <c r="G129" i="1"/>
  <c r="K129" i="1" s="1"/>
  <c r="G130" i="1"/>
  <c r="K130" i="1" s="1"/>
  <c r="G131" i="1"/>
  <c r="K131" i="1" s="1"/>
  <c r="G132" i="1"/>
  <c r="K132" i="1" s="1"/>
  <c r="G133" i="1"/>
  <c r="K133" i="1" s="1"/>
  <c r="G134" i="1"/>
  <c r="K134" i="1" s="1"/>
  <c r="G135" i="1"/>
  <c r="K135" i="1" s="1"/>
  <c r="G136" i="1"/>
  <c r="K136" i="1" s="1"/>
  <c r="G137" i="1"/>
  <c r="K137" i="1" s="1"/>
  <c r="G138" i="1"/>
  <c r="K138" i="1" s="1"/>
  <c r="G139" i="1"/>
  <c r="K139" i="1" s="1"/>
  <c r="G140" i="1"/>
  <c r="K140" i="1" s="1"/>
  <c r="G141" i="1"/>
  <c r="K141" i="1" s="1"/>
  <c r="G142" i="1"/>
  <c r="K142" i="1" s="1"/>
  <c r="G143" i="1"/>
  <c r="K143" i="1" s="1"/>
  <c r="G144" i="1"/>
  <c r="K144" i="1" s="1"/>
  <c r="G145" i="1"/>
  <c r="K145" i="1" s="1"/>
  <c r="G146" i="1"/>
  <c r="K146" i="1" s="1"/>
  <c r="G147" i="1"/>
  <c r="K147" i="1" s="1"/>
  <c r="G148" i="1"/>
  <c r="K148" i="1" s="1"/>
  <c r="G149" i="1"/>
  <c r="K149" i="1" s="1"/>
  <c r="G150" i="1"/>
  <c r="K150" i="1" s="1"/>
  <c r="G151" i="1"/>
  <c r="K151" i="1" s="1"/>
  <c r="G152" i="1"/>
  <c r="K152" i="1" s="1"/>
  <c r="G153" i="1"/>
  <c r="K153" i="1" s="1"/>
  <c r="G154" i="1"/>
  <c r="K154" i="1" s="1"/>
  <c r="G155" i="1"/>
  <c r="K155" i="1" s="1"/>
  <c r="G156" i="1"/>
  <c r="K156" i="1" s="1"/>
  <c r="G157" i="1"/>
  <c r="K157" i="1" s="1"/>
  <c r="G158" i="1"/>
  <c r="K158" i="1" s="1"/>
  <c r="G159" i="1"/>
  <c r="K159" i="1" s="1"/>
  <c r="G160" i="1"/>
  <c r="K160" i="1" s="1"/>
  <c r="G161" i="1"/>
  <c r="K161" i="1" s="1"/>
  <c r="G162" i="1"/>
  <c r="K162" i="1" s="1"/>
  <c r="G163" i="1"/>
  <c r="K163" i="1" s="1"/>
  <c r="G164" i="1"/>
  <c r="K164" i="1" s="1"/>
  <c r="G165" i="1"/>
  <c r="K165" i="1" s="1"/>
  <c r="G166" i="1"/>
  <c r="K166" i="1" s="1"/>
  <c r="G167" i="1"/>
  <c r="K167" i="1" s="1"/>
  <c r="G168" i="1"/>
  <c r="K168" i="1" s="1"/>
  <c r="G169" i="1"/>
  <c r="K169" i="1" s="1"/>
  <c r="G170" i="1"/>
  <c r="K170" i="1" s="1"/>
  <c r="G171" i="1"/>
  <c r="K171" i="1" s="1"/>
  <c r="G172" i="1"/>
  <c r="K172" i="1" s="1"/>
  <c r="G173" i="1"/>
  <c r="K173" i="1" s="1"/>
  <c r="G174" i="1"/>
  <c r="K174" i="1" s="1"/>
  <c r="G175" i="1"/>
  <c r="K175" i="1" s="1"/>
  <c r="G176" i="1"/>
  <c r="K176" i="1" s="1"/>
  <c r="G177" i="1"/>
  <c r="K177" i="1" s="1"/>
  <c r="G178" i="1"/>
  <c r="K178" i="1" s="1"/>
  <c r="G179" i="1"/>
  <c r="K179" i="1" s="1"/>
  <c r="G180" i="1"/>
  <c r="K180" i="1" s="1"/>
  <c r="G181" i="1"/>
  <c r="K181" i="1" s="1"/>
  <c r="G182" i="1"/>
  <c r="K182" i="1" s="1"/>
  <c r="G183" i="1"/>
  <c r="K183" i="1" s="1"/>
  <c r="G184" i="1"/>
  <c r="K184" i="1" s="1"/>
  <c r="G185" i="1"/>
  <c r="K185" i="1" s="1"/>
  <c r="G186" i="1"/>
  <c r="K186" i="1" s="1"/>
  <c r="G187" i="1"/>
  <c r="K187" i="1" s="1"/>
  <c r="G188" i="1"/>
  <c r="K188" i="1" s="1"/>
  <c r="G189" i="1"/>
  <c r="K189" i="1" s="1"/>
  <c r="G190" i="1"/>
  <c r="K190" i="1" s="1"/>
  <c r="G191" i="1"/>
  <c r="K191" i="1" s="1"/>
  <c r="G192" i="1"/>
  <c r="K192" i="1" s="1"/>
  <c r="G193" i="1"/>
  <c r="K193" i="1" s="1"/>
  <c r="G194" i="1"/>
  <c r="K194" i="1" s="1"/>
  <c r="G195" i="1"/>
  <c r="K195" i="1" s="1"/>
  <c r="G196" i="1"/>
  <c r="K196" i="1" s="1"/>
  <c r="G197" i="1"/>
  <c r="K197" i="1" s="1"/>
  <c r="G198" i="1"/>
  <c r="K198" i="1" s="1"/>
  <c r="G199" i="1"/>
  <c r="K199" i="1" s="1"/>
  <c r="G200" i="1"/>
  <c r="K200" i="1" s="1"/>
  <c r="G201" i="1"/>
  <c r="K201" i="1" s="1"/>
  <c r="G202" i="1"/>
  <c r="K202" i="1" s="1"/>
  <c r="G203" i="1"/>
  <c r="K203" i="1" s="1"/>
  <c r="G204" i="1"/>
  <c r="K204" i="1" s="1"/>
  <c r="G205" i="1"/>
  <c r="K205" i="1" s="1"/>
  <c r="G206" i="1"/>
  <c r="K206" i="1" s="1"/>
  <c r="G207" i="1"/>
  <c r="K207" i="1" s="1"/>
  <c r="G208" i="1"/>
  <c r="K208" i="1" s="1"/>
  <c r="G209" i="1"/>
  <c r="K209" i="1" s="1"/>
  <c r="G210" i="1"/>
  <c r="K210" i="1" s="1"/>
  <c r="G211" i="1"/>
  <c r="K211" i="1" s="1"/>
  <c r="G212" i="1"/>
  <c r="K212" i="1" s="1"/>
  <c r="G213" i="1"/>
  <c r="K213" i="1" s="1"/>
  <c r="G214" i="1"/>
  <c r="K214" i="1" s="1"/>
  <c r="G215" i="1"/>
  <c r="K215" i="1" s="1"/>
  <c r="G216" i="1"/>
  <c r="K216" i="1" s="1"/>
  <c r="G217" i="1"/>
  <c r="K217" i="1" s="1"/>
  <c r="G218" i="1"/>
  <c r="K218" i="1" s="1"/>
  <c r="G219" i="1"/>
  <c r="K219" i="1" s="1"/>
  <c r="G220" i="1"/>
  <c r="K220" i="1" s="1"/>
  <c r="G221" i="1"/>
  <c r="K221" i="1" s="1"/>
  <c r="G222" i="1"/>
  <c r="K222" i="1" s="1"/>
  <c r="G223" i="1"/>
  <c r="K223" i="1" s="1"/>
  <c r="G224" i="1"/>
  <c r="K224" i="1" s="1"/>
  <c r="G225" i="1"/>
  <c r="K225" i="1" s="1"/>
  <c r="G226" i="1"/>
  <c r="K226" i="1" s="1"/>
  <c r="G227" i="1"/>
  <c r="G228" i="1"/>
  <c r="K228" i="1" s="1"/>
  <c r="G229" i="1"/>
  <c r="K229" i="1" s="1"/>
  <c r="G230" i="1"/>
  <c r="K230" i="1" s="1"/>
  <c r="G231" i="1"/>
  <c r="K231" i="1" s="1"/>
  <c r="G232" i="1"/>
  <c r="K232" i="1" s="1"/>
  <c r="G233" i="1"/>
  <c r="K233" i="1" s="1"/>
  <c r="G234" i="1"/>
  <c r="K234" i="1" s="1"/>
  <c r="G235" i="1"/>
  <c r="K235" i="1" s="1"/>
  <c r="G236" i="1"/>
  <c r="K236" i="1" s="1"/>
  <c r="G237" i="1"/>
  <c r="K237" i="1" s="1"/>
  <c r="G238" i="1"/>
  <c r="K238" i="1" s="1"/>
  <c r="G239" i="1"/>
  <c r="K239" i="1" s="1"/>
  <c r="G240" i="1"/>
  <c r="K240" i="1" s="1"/>
  <c r="G241" i="1"/>
  <c r="K241" i="1" s="1"/>
  <c r="G242" i="1"/>
  <c r="K242" i="1" s="1"/>
  <c r="G243" i="1"/>
  <c r="K243" i="1" s="1"/>
  <c r="G244" i="1"/>
  <c r="K244" i="1" s="1"/>
  <c r="G245" i="1"/>
  <c r="K245" i="1" s="1"/>
  <c r="G246" i="1"/>
  <c r="K246" i="1" s="1"/>
  <c r="G247" i="1"/>
  <c r="K247" i="1" s="1"/>
  <c r="G248" i="1"/>
  <c r="K248" i="1" s="1"/>
  <c r="G249" i="1"/>
  <c r="K249" i="1" s="1"/>
  <c r="G250" i="1"/>
  <c r="K250" i="1" s="1"/>
  <c r="G251" i="1"/>
  <c r="K251" i="1" s="1"/>
  <c r="G252" i="1"/>
  <c r="K252" i="1" s="1"/>
  <c r="G253" i="1"/>
  <c r="K253" i="1" s="1"/>
  <c r="G254" i="1"/>
  <c r="K254" i="1" s="1"/>
  <c r="G255" i="1"/>
  <c r="K255" i="1" s="1"/>
  <c r="G256" i="1"/>
  <c r="K256" i="1" s="1"/>
  <c r="G257" i="1"/>
  <c r="K257" i="1" s="1"/>
  <c r="G258" i="1"/>
  <c r="K258" i="1" s="1"/>
  <c r="G259" i="1"/>
  <c r="K259" i="1" s="1"/>
  <c r="G260" i="1"/>
  <c r="K260" i="1" s="1"/>
  <c r="G261" i="1"/>
  <c r="K261" i="1" s="1"/>
  <c r="G262" i="1"/>
  <c r="K262" i="1" s="1"/>
  <c r="G263" i="1"/>
  <c r="K263" i="1" s="1"/>
  <c r="G264" i="1"/>
  <c r="K264" i="1" s="1"/>
  <c r="G265" i="1"/>
  <c r="K265" i="1" s="1"/>
  <c r="G266" i="1"/>
  <c r="K266" i="1" s="1"/>
  <c r="G267" i="1"/>
  <c r="K267" i="1" s="1"/>
  <c r="G268" i="1"/>
  <c r="K268" i="1" s="1"/>
  <c r="G269" i="1"/>
  <c r="K269" i="1" s="1"/>
  <c r="G270" i="1"/>
  <c r="K270" i="1" s="1"/>
  <c r="G271" i="1"/>
  <c r="K271" i="1" s="1"/>
  <c r="G272" i="1"/>
  <c r="K272" i="1" s="1"/>
  <c r="G273" i="1"/>
  <c r="K273" i="1" s="1"/>
  <c r="G274" i="1"/>
  <c r="K274" i="1" s="1"/>
  <c r="G275" i="1"/>
  <c r="K275" i="1" s="1"/>
  <c r="G276" i="1"/>
  <c r="K276" i="1" s="1"/>
  <c r="G277" i="1"/>
  <c r="K277" i="1" s="1"/>
  <c r="G278" i="1"/>
  <c r="K278" i="1" s="1"/>
  <c r="G279" i="1"/>
  <c r="K279" i="1" s="1"/>
  <c r="G280" i="1"/>
  <c r="K280" i="1" s="1"/>
  <c r="G281" i="1"/>
  <c r="K281" i="1" s="1"/>
  <c r="G282" i="1"/>
  <c r="K282" i="1" s="1"/>
  <c r="G283" i="1"/>
  <c r="K283" i="1" s="1"/>
  <c r="G284" i="1"/>
  <c r="K284" i="1" s="1"/>
  <c r="G285" i="1"/>
  <c r="K285" i="1" s="1"/>
  <c r="G286" i="1"/>
  <c r="K286" i="1" s="1"/>
  <c r="G287" i="1"/>
  <c r="K287" i="1" s="1"/>
  <c r="G288" i="1"/>
  <c r="K288" i="1" s="1"/>
  <c r="G289" i="1"/>
  <c r="K289" i="1" s="1"/>
  <c r="G290" i="1"/>
  <c r="K290" i="1" s="1"/>
  <c r="G291" i="1"/>
  <c r="K291" i="1" s="1"/>
  <c r="G292" i="1"/>
  <c r="K292" i="1" s="1"/>
  <c r="G293" i="1"/>
  <c r="K293" i="1" s="1"/>
  <c r="G294" i="1"/>
  <c r="K294" i="1" s="1"/>
  <c r="G295" i="1"/>
  <c r="K295" i="1" s="1"/>
  <c r="G296" i="1"/>
  <c r="K296" i="1" s="1"/>
  <c r="G297" i="1"/>
  <c r="G298" i="1"/>
  <c r="K298" i="1" s="1"/>
  <c r="G299" i="1"/>
  <c r="K299" i="1" s="1"/>
  <c r="G300" i="1"/>
  <c r="K300" i="1" s="1"/>
  <c r="G301" i="1"/>
  <c r="K301" i="1" s="1"/>
  <c r="G302" i="1"/>
  <c r="K302" i="1" s="1"/>
  <c r="G303" i="1"/>
  <c r="K303" i="1" s="1"/>
  <c r="G304" i="1"/>
  <c r="G305" i="1"/>
  <c r="K305" i="1" s="1"/>
  <c r="G306" i="1"/>
  <c r="K306" i="1" s="1"/>
  <c r="G307" i="1"/>
  <c r="K307" i="1" s="1"/>
  <c r="G308" i="1"/>
  <c r="K308" i="1" s="1"/>
  <c r="G309" i="1"/>
  <c r="K309" i="1" s="1"/>
  <c r="G310" i="1"/>
  <c r="K310" i="1" s="1"/>
  <c r="G311" i="1"/>
  <c r="K311" i="1" s="1"/>
  <c r="G312" i="1"/>
  <c r="K312" i="1" s="1"/>
  <c r="G313" i="1"/>
  <c r="K313" i="1" s="1"/>
  <c r="G314" i="1"/>
  <c r="K314" i="1" s="1"/>
  <c r="G315" i="1"/>
  <c r="K315" i="1" s="1"/>
  <c r="G316" i="1"/>
  <c r="K316" i="1" s="1"/>
  <c r="G317" i="1"/>
  <c r="K317" i="1" s="1"/>
  <c r="G318" i="1"/>
  <c r="K318" i="1" s="1"/>
  <c r="G319" i="1"/>
  <c r="K319" i="1" s="1"/>
  <c r="G320" i="1"/>
  <c r="K320" i="1" s="1"/>
  <c r="G321" i="1"/>
  <c r="K321" i="1" s="1"/>
  <c r="G322" i="1"/>
  <c r="K322" i="1" s="1"/>
  <c r="G323" i="1"/>
  <c r="K323" i="1" s="1"/>
  <c r="G324" i="1"/>
  <c r="K324" i="1" s="1"/>
  <c r="G325" i="1"/>
  <c r="K325" i="1" s="1"/>
  <c r="G326" i="1"/>
  <c r="K326" i="1" s="1"/>
  <c r="G327" i="1"/>
  <c r="K327" i="1" s="1"/>
  <c r="G328" i="1"/>
  <c r="K328" i="1" s="1"/>
  <c r="G329" i="1"/>
  <c r="K329" i="1" s="1"/>
  <c r="G330" i="1"/>
  <c r="K330" i="1" s="1"/>
  <c r="G331" i="1"/>
  <c r="K331" i="1" s="1"/>
  <c r="G332" i="1"/>
  <c r="K332" i="1" s="1"/>
  <c r="G333" i="1"/>
  <c r="K333" i="1" s="1"/>
  <c r="G334" i="1"/>
  <c r="K334" i="1" s="1"/>
  <c r="G335" i="1"/>
  <c r="K335" i="1" s="1"/>
  <c r="G336" i="1"/>
  <c r="K336" i="1" s="1"/>
  <c r="G337" i="1"/>
  <c r="K337" i="1" s="1"/>
  <c r="G338" i="1"/>
  <c r="K338" i="1" s="1"/>
  <c r="G339" i="1"/>
  <c r="K339" i="1" s="1"/>
  <c r="G340" i="1"/>
  <c r="K340" i="1" s="1"/>
  <c r="G341" i="1"/>
  <c r="K341" i="1" s="1"/>
  <c r="G342" i="1"/>
  <c r="K342" i="1" s="1"/>
  <c r="G343" i="1"/>
  <c r="K343" i="1" s="1"/>
  <c r="G344" i="1"/>
  <c r="K344" i="1" s="1"/>
  <c r="G345" i="1"/>
  <c r="K345" i="1" s="1"/>
  <c r="G346" i="1"/>
  <c r="K346" i="1" s="1"/>
  <c r="G347" i="1"/>
  <c r="K347" i="1" s="1"/>
  <c r="G348" i="1"/>
  <c r="K348" i="1" s="1"/>
  <c r="G349" i="1"/>
  <c r="K349" i="1" s="1"/>
  <c r="G350" i="1"/>
  <c r="K350" i="1" s="1"/>
  <c r="G351" i="1"/>
  <c r="K351" i="1" s="1"/>
  <c r="G352" i="1"/>
  <c r="K352" i="1" s="1"/>
  <c r="G353" i="1"/>
  <c r="K353" i="1" s="1"/>
  <c r="G354" i="1"/>
  <c r="K354" i="1" s="1"/>
  <c r="G355" i="1"/>
  <c r="K355" i="1" s="1"/>
  <c r="G356" i="1"/>
  <c r="K356" i="1" s="1"/>
  <c r="G357" i="1"/>
  <c r="K357" i="1" s="1"/>
  <c r="G358" i="1"/>
  <c r="K358" i="1" s="1"/>
  <c r="G359" i="1"/>
  <c r="K359" i="1" s="1"/>
  <c r="G360" i="1"/>
  <c r="K360" i="1" s="1"/>
  <c r="G361" i="1"/>
  <c r="K361" i="1" s="1"/>
  <c r="G362" i="1"/>
  <c r="K362" i="1" s="1"/>
  <c r="G363" i="1"/>
  <c r="K363" i="1" s="1"/>
  <c r="G364" i="1"/>
  <c r="K364" i="1" s="1"/>
  <c r="G365" i="1"/>
  <c r="K365" i="1" s="1"/>
  <c r="G366" i="1"/>
  <c r="K366" i="1" s="1"/>
  <c r="G367" i="1"/>
  <c r="K367" i="1" s="1"/>
  <c r="G368" i="1"/>
  <c r="K368" i="1" s="1"/>
  <c r="G369" i="1"/>
  <c r="K369" i="1" s="1"/>
  <c r="G370" i="1"/>
  <c r="K370" i="1" s="1"/>
  <c r="G371" i="1"/>
  <c r="K371" i="1" s="1"/>
  <c r="G372" i="1"/>
  <c r="K372" i="1" s="1"/>
  <c r="G373" i="1"/>
  <c r="K373" i="1" s="1"/>
  <c r="G374" i="1"/>
  <c r="K374" i="1" s="1"/>
  <c r="G375" i="1"/>
  <c r="K375" i="1" s="1"/>
  <c r="G376" i="1"/>
  <c r="K376" i="1" s="1"/>
  <c r="G377" i="1"/>
  <c r="K377" i="1" s="1"/>
  <c r="G378" i="1"/>
  <c r="K378" i="1" s="1"/>
  <c r="G379" i="1"/>
  <c r="G380" i="1"/>
  <c r="K380" i="1" s="1"/>
  <c r="G381" i="1"/>
  <c r="K381" i="1" s="1"/>
  <c r="G382" i="1"/>
  <c r="K382" i="1" s="1"/>
  <c r="G383" i="1"/>
  <c r="K383" i="1" s="1"/>
  <c r="G384" i="1"/>
  <c r="K384" i="1" s="1"/>
  <c r="G385" i="1"/>
  <c r="K385" i="1" s="1"/>
  <c r="G386" i="1"/>
  <c r="G387" i="1"/>
  <c r="K387" i="1" s="1"/>
  <c r="G388" i="1"/>
  <c r="K388" i="1" s="1"/>
  <c r="G389" i="1"/>
  <c r="K389" i="1" s="1"/>
  <c r="G390" i="1"/>
  <c r="K390" i="1" s="1"/>
  <c r="G391" i="1"/>
  <c r="K391" i="1" s="1"/>
  <c r="G392" i="1"/>
  <c r="K392" i="1" s="1"/>
  <c r="G393" i="1"/>
  <c r="K393" i="1" s="1"/>
  <c r="G394" i="1"/>
  <c r="K394" i="1" s="1"/>
  <c r="G395" i="1"/>
  <c r="K395" i="1" s="1"/>
  <c r="G396" i="1"/>
  <c r="K396" i="1" s="1"/>
  <c r="G397" i="1"/>
  <c r="K397" i="1" s="1"/>
  <c r="G398" i="1"/>
  <c r="K398" i="1" s="1"/>
  <c r="G399" i="1"/>
  <c r="K399" i="1" s="1"/>
  <c r="G400" i="1"/>
  <c r="G401" i="1"/>
  <c r="K401" i="1" s="1"/>
  <c r="G402" i="1"/>
  <c r="K402" i="1" s="1"/>
  <c r="G403" i="1"/>
  <c r="K403" i="1" s="1"/>
  <c r="G404" i="1"/>
  <c r="K404" i="1" s="1"/>
  <c r="G405" i="1"/>
  <c r="K405" i="1" s="1"/>
  <c r="G406" i="1"/>
  <c r="K406" i="1" s="1"/>
  <c r="G407" i="1"/>
  <c r="K407" i="1" s="1"/>
  <c r="G408" i="1"/>
  <c r="K408" i="1" s="1"/>
  <c r="G409" i="1"/>
  <c r="K409" i="1" s="1"/>
  <c r="G410" i="1"/>
  <c r="K410" i="1" s="1"/>
  <c r="G411" i="1"/>
  <c r="K411" i="1" s="1"/>
  <c r="G412" i="1"/>
  <c r="K412" i="1" s="1"/>
  <c r="G413" i="1"/>
  <c r="K413" i="1" s="1"/>
  <c r="G414" i="1"/>
  <c r="K414" i="1" s="1"/>
  <c r="G415" i="1"/>
  <c r="K415" i="1" s="1"/>
  <c r="G416" i="1"/>
  <c r="G417" i="1"/>
  <c r="G418" i="1"/>
  <c r="G419" i="1"/>
  <c r="K419" i="1" s="1"/>
  <c r="G420" i="1"/>
  <c r="K420" i="1" s="1"/>
  <c r="G421" i="1"/>
  <c r="K421" i="1" s="1"/>
  <c r="G422" i="1"/>
  <c r="K422" i="1" s="1"/>
  <c r="G423" i="1"/>
  <c r="K423" i="1" s="1"/>
  <c r="G424" i="1"/>
  <c r="K424" i="1" s="1"/>
  <c r="G425" i="1"/>
  <c r="K425" i="1" s="1"/>
  <c r="G426" i="1"/>
  <c r="K426" i="1" s="1"/>
  <c r="G427" i="1"/>
  <c r="K427" i="1" s="1"/>
  <c r="G428" i="1"/>
  <c r="K428" i="1" s="1"/>
  <c r="G429" i="1"/>
  <c r="K429" i="1" s="1"/>
  <c r="G430" i="1"/>
  <c r="K430" i="1" s="1"/>
  <c r="G431" i="1"/>
  <c r="K431" i="1" s="1"/>
  <c r="G432" i="1"/>
  <c r="K432" i="1" s="1"/>
  <c r="G433" i="1"/>
  <c r="K433" i="1" s="1"/>
  <c r="G434" i="1"/>
  <c r="K434" i="1" s="1"/>
  <c r="G435" i="1"/>
  <c r="K435" i="1" s="1"/>
  <c r="G436" i="1"/>
  <c r="K436" i="1" s="1"/>
  <c r="G437" i="1"/>
  <c r="K437" i="1" s="1"/>
  <c r="G438" i="1"/>
  <c r="K438" i="1" s="1"/>
  <c r="G439" i="1"/>
  <c r="K439" i="1" s="1"/>
  <c r="G440" i="1"/>
  <c r="K440" i="1" s="1"/>
  <c r="G441" i="1"/>
  <c r="K441" i="1" s="1"/>
  <c r="G442" i="1"/>
  <c r="K442" i="1" s="1"/>
  <c r="G443" i="1"/>
  <c r="K443" i="1" s="1"/>
  <c r="G444" i="1"/>
  <c r="K444" i="1" s="1"/>
  <c r="G445" i="1"/>
  <c r="K445" i="1" s="1"/>
  <c r="G446" i="1"/>
  <c r="K446" i="1" s="1"/>
  <c r="G447" i="1"/>
  <c r="K447" i="1" s="1"/>
  <c r="G448" i="1"/>
  <c r="K448" i="1" s="1"/>
  <c r="G449" i="1"/>
  <c r="K449" i="1" s="1"/>
  <c r="G450" i="1"/>
  <c r="K450" i="1" s="1"/>
  <c r="G451" i="1"/>
  <c r="K451" i="1" s="1"/>
  <c r="G452" i="1"/>
  <c r="K452" i="1" s="1"/>
  <c r="G453" i="1"/>
  <c r="K453" i="1" s="1"/>
  <c r="G454" i="1"/>
  <c r="K454" i="1" s="1"/>
  <c r="G455" i="1"/>
  <c r="K455" i="1" s="1"/>
  <c r="G456" i="1"/>
  <c r="K456" i="1" s="1"/>
  <c r="G457" i="1"/>
  <c r="K457" i="1" s="1"/>
  <c r="G458" i="1"/>
  <c r="K458" i="1" s="1"/>
  <c r="G459" i="1"/>
  <c r="K459" i="1" s="1"/>
  <c r="G460" i="1"/>
  <c r="K460" i="1" s="1"/>
  <c r="G461" i="1"/>
  <c r="K461" i="1" s="1"/>
  <c r="G462" i="1"/>
  <c r="K462" i="1" s="1"/>
  <c r="G463" i="1"/>
  <c r="K463" i="1" s="1"/>
  <c r="G464" i="1"/>
  <c r="K464" i="1" s="1"/>
  <c r="G465" i="1"/>
  <c r="K465" i="1" s="1"/>
  <c r="G466" i="1"/>
  <c r="K466" i="1" s="1"/>
  <c r="G467" i="1"/>
  <c r="K467" i="1" s="1"/>
  <c r="G468" i="1"/>
  <c r="K468" i="1" s="1"/>
  <c r="G469" i="1"/>
  <c r="K469" i="1" s="1"/>
  <c r="G470" i="1"/>
  <c r="K470" i="1" s="1"/>
  <c r="G471" i="1"/>
  <c r="K471" i="1" s="1"/>
  <c r="G472" i="1"/>
  <c r="K472" i="1" s="1"/>
  <c r="G473" i="1"/>
  <c r="K473" i="1" s="1"/>
  <c r="G474" i="1"/>
  <c r="K474" i="1" s="1"/>
  <c r="G475" i="1"/>
  <c r="K475" i="1" s="1"/>
  <c r="G476" i="1"/>
  <c r="K476" i="1" s="1"/>
  <c r="G477" i="1"/>
  <c r="K477" i="1" s="1"/>
  <c r="G478" i="1"/>
  <c r="K478" i="1" s="1"/>
  <c r="G479" i="1"/>
  <c r="K479" i="1" s="1"/>
  <c r="G480" i="1"/>
  <c r="K480" i="1" s="1"/>
  <c r="G481" i="1"/>
  <c r="K481" i="1" s="1"/>
  <c r="G482" i="1"/>
  <c r="K482" i="1" s="1"/>
  <c r="G483" i="1"/>
  <c r="K483" i="1" s="1"/>
  <c r="G484" i="1"/>
  <c r="K484" i="1" s="1"/>
  <c r="G485" i="1"/>
  <c r="K485" i="1" s="1"/>
  <c r="G486" i="1"/>
  <c r="K486" i="1" s="1"/>
  <c r="G487" i="1"/>
  <c r="K487" i="1" s="1"/>
  <c r="G488" i="1"/>
  <c r="K488" i="1" s="1"/>
  <c r="G489" i="1"/>
  <c r="K489" i="1" s="1"/>
  <c r="G490" i="1"/>
  <c r="K490" i="1" s="1"/>
  <c r="G491" i="1"/>
  <c r="K491" i="1" s="1"/>
  <c r="G492" i="1"/>
  <c r="K492" i="1" s="1"/>
  <c r="G493" i="1"/>
  <c r="K493" i="1" s="1"/>
  <c r="G494" i="1"/>
  <c r="K494" i="1" s="1"/>
  <c r="G495" i="1"/>
  <c r="K495" i="1" s="1"/>
  <c r="G496" i="1"/>
  <c r="K496" i="1" s="1"/>
  <c r="G497" i="1"/>
  <c r="K497" i="1" s="1"/>
  <c r="G498" i="1"/>
  <c r="K498" i="1" s="1"/>
  <c r="G499" i="1"/>
  <c r="K499" i="1" s="1"/>
  <c r="G500" i="1"/>
  <c r="K500" i="1" s="1"/>
  <c r="G501" i="1"/>
  <c r="K501" i="1" s="1"/>
  <c r="G502" i="1"/>
  <c r="K502" i="1" s="1"/>
  <c r="G503" i="1"/>
  <c r="K503" i="1" s="1"/>
  <c r="G504" i="1"/>
  <c r="K504" i="1" s="1"/>
  <c r="G505" i="1"/>
  <c r="K505" i="1" s="1"/>
  <c r="G506" i="1"/>
  <c r="K506" i="1" s="1"/>
  <c r="G507" i="1"/>
  <c r="G508" i="1"/>
  <c r="G509" i="1"/>
  <c r="K509" i="1" s="1"/>
  <c r="G510" i="1"/>
  <c r="K510" i="1" s="1"/>
  <c r="G511" i="1"/>
  <c r="K511" i="1" s="1"/>
  <c r="G512" i="1"/>
  <c r="K512" i="1" s="1"/>
  <c r="G513" i="1"/>
  <c r="K513" i="1" s="1"/>
  <c r="G514" i="1"/>
  <c r="K514" i="1" s="1"/>
  <c r="G515" i="1"/>
  <c r="K515" i="1" s="1"/>
  <c r="G516" i="1"/>
  <c r="K516" i="1" s="1"/>
  <c r="G517" i="1"/>
  <c r="K517" i="1" s="1"/>
  <c r="G518" i="1"/>
  <c r="K518" i="1" s="1"/>
  <c r="G519" i="1"/>
  <c r="K519" i="1" s="1"/>
  <c r="G520" i="1"/>
  <c r="K520" i="1" s="1"/>
  <c r="G521" i="1"/>
  <c r="K521" i="1" s="1"/>
  <c r="G522" i="1"/>
  <c r="K522" i="1" s="1"/>
  <c r="G523" i="1"/>
  <c r="K523" i="1" s="1"/>
  <c r="G524" i="1"/>
  <c r="K524" i="1" s="1"/>
  <c r="G525" i="1"/>
  <c r="K525" i="1" s="1"/>
  <c r="G526" i="1"/>
  <c r="K526" i="1" s="1"/>
  <c r="G527" i="1"/>
  <c r="K527" i="1" s="1"/>
  <c r="G528" i="1"/>
  <c r="K528" i="1" s="1"/>
  <c r="G529" i="1"/>
  <c r="K529" i="1" s="1"/>
  <c r="G530" i="1"/>
  <c r="K530" i="1" s="1"/>
  <c r="G531" i="1"/>
  <c r="K531" i="1" s="1"/>
  <c r="G532" i="1"/>
  <c r="K532" i="1" s="1"/>
  <c r="G533" i="1"/>
  <c r="K533" i="1" s="1"/>
  <c r="G534" i="1"/>
  <c r="K534" i="1" s="1"/>
  <c r="G535" i="1"/>
  <c r="K535" i="1" s="1"/>
  <c r="G536" i="1"/>
  <c r="G537" i="1"/>
  <c r="K537" i="1" s="1"/>
  <c r="G538" i="1"/>
  <c r="K538" i="1" s="1"/>
  <c r="G539" i="1"/>
  <c r="K539" i="1" s="1"/>
  <c r="G540" i="1"/>
  <c r="K540" i="1" s="1"/>
  <c r="G541" i="1"/>
  <c r="K541" i="1" s="1"/>
  <c r="G542" i="1"/>
  <c r="K542" i="1" s="1"/>
  <c r="G543" i="1"/>
  <c r="K543" i="1" s="1"/>
  <c r="G544" i="1"/>
  <c r="K544" i="1" s="1"/>
  <c r="G545" i="1"/>
  <c r="K545" i="1" s="1"/>
  <c r="G546" i="1"/>
  <c r="K546" i="1" s="1"/>
  <c r="G547" i="1"/>
  <c r="G548" i="1"/>
  <c r="G549" i="1"/>
  <c r="G550" i="1"/>
  <c r="K550" i="1" s="1"/>
  <c r="G551" i="1"/>
  <c r="K551" i="1" s="1"/>
  <c r="G552" i="1"/>
  <c r="K552" i="1" s="1"/>
  <c r="G553" i="1"/>
  <c r="K553" i="1" s="1"/>
  <c r="G554" i="1"/>
  <c r="K554" i="1" s="1"/>
  <c r="G555" i="1"/>
  <c r="K555" i="1" s="1"/>
  <c r="G556" i="1"/>
  <c r="K556" i="1" s="1"/>
  <c r="G557" i="1"/>
  <c r="K557" i="1" s="1"/>
  <c r="G558" i="1"/>
  <c r="K558" i="1" s="1"/>
  <c r="G559" i="1"/>
  <c r="K559" i="1" s="1"/>
  <c r="G560" i="1"/>
  <c r="K560" i="1" s="1"/>
  <c r="G561" i="1"/>
  <c r="K561" i="1" s="1"/>
  <c r="G562" i="1"/>
  <c r="K562" i="1" s="1"/>
  <c r="G563" i="1"/>
  <c r="K563" i="1" s="1"/>
  <c r="G564" i="1"/>
  <c r="K564" i="1" s="1"/>
  <c r="G565" i="1"/>
  <c r="K565" i="1" s="1"/>
  <c r="G566" i="1"/>
  <c r="K566" i="1" s="1"/>
  <c r="G567" i="1"/>
  <c r="K567" i="1" s="1"/>
  <c r="G568" i="1"/>
  <c r="K568" i="1" s="1"/>
  <c r="G569" i="1"/>
  <c r="K569" i="1" s="1"/>
  <c r="G570" i="1"/>
  <c r="K570" i="1" s="1"/>
  <c r="G571" i="1"/>
  <c r="K571" i="1" s="1"/>
  <c r="G572" i="1"/>
  <c r="K572" i="1" s="1"/>
  <c r="G573" i="1"/>
  <c r="K573" i="1" s="1"/>
  <c r="G574" i="1"/>
  <c r="K574" i="1" s="1"/>
  <c r="G575" i="1"/>
  <c r="K575" i="1" s="1"/>
  <c r="G576" i="1"/>
  <c r="K576" i="1" s="1"/>
  <c r="G577" i="1"/>
  <c r="K577" i="1" s="1"/>
  <c r="G578" i="1"/>
  <c r="K578" i="1" s="1"/>
  <c r="G579" i="1"/>
  <c r="K579" i="1" s="1"/>
  <c r="G580" i="1"/>
  <c r="K580" i="1" s="1"/>
  <c r="G581" i="1"/>
  <c r="K581" i="1" s="1"/>
  <c r="G582" i="1"/>
  <c r="K582" i="1" s="1"/>
  <c r="G583" i="1"/>
  <c r="K583" i="1" s="1"/>
  <c r="G584" i="1"/>
  <c r="K584" i="1" s="1"/>
  <c r="G585" i="1"/>
  <c r="K585" i="1" s="1"/>
  <c r="G586" i="1"/>
  <c r="K586" i="1" s="1"/>
  <c r="G587" i="1"/>
  <c r="K587" i="1" s="1"/>
  <c r="G588" i="1"/>
  <c r="K588" i="1" s="1"/>
  <c r="G589" i="1"/>
  <c r="K589" i="1" s="1"/>
  <c r="G590" i="1"/>
  <c r="K590" i="1" s="1"/>
  <c r="G591" i="1"/>
  <c r="K591" i="1" s="1"/>
  <c r="G592" i="1"/>
  <c r="K592" i="1" s="1"/>
  <c r="G593" i="1"/>
  <c r="K593" i="1" s="1"/>
  <c r="G594" i="1"/>
  <c r="K594" i="1" s="1"/>
  <c r="G595" i="1"/>
  <c r="K595" i="1" s="1"/>
  <c r="G596" i="1"/>
  <c r="K596" i="1" s="1"/>
  <c r="G597" i="1"/>
  <c r="K597" i="1" s="1"/>
  <c r="G598" i="1"/>
  <c r="K598" i="1" s="1"/>
  <c r="G599" i="1"/>
  <c r="K599" i="1" s="1"/>
  <c r="G600" i="1"/>
  <c r="K600" i="1" s="1"/>
  <c r="G601" i="1"/>
  <c r="K601" i="1" s="1"/>
  <c r="G602" i="1"/>
  <c r="K602" i="1" s="1"/>
  <c r="G603" i="1"/>
  <c r="K603" i="1" s="1"/>
  <c r="G604" i="1"/>
  <c r="K604" i="1" s="1"/>
  <c r="G605" i="1"/>
  <c r="K605" i="1" s="1"/>
  <c r="G606" i="1"/>
  <c r="K606" i="1" s="1"/>
  <c r="G607" i="1"/>
  <c r="K607" i="1" s="1"/>
  <c r="G608" i="1"/>
  <c r="K608" i="1" s="1"/>
  <c r="G609" i="1"/>
  <c r="K609" i="1" s="1"/>
  <c r="G610" i="1"/>
  <c r="K610" i="1" s="1"/>
  <c r="G611" i="1"/>
  <c r="K611" i="1" s="1"/>
  <c r="G612" i="1"/>
  <c r="K612" i="1" s="1"/>
  <c r="G613" i="1"/>
  <c r="K613" i="1" s="1"/>
  <c r="G614" i="1"/>
  <c r="K614" i="1" s="1"/>
  <c r="G615" i="1"/>
  <c r="K615" i="1" s="1"/>
  <c r="G616" i="1"/>
  <c r="K616" i="1" s="1"/>
  <c r="G617" i="1"/>
  <c r="K617" i="1" s="1"/>
  <c r="G618" i="1"/>
  <c r="K618" i="1" s="1"/>
  <c r="G619" i="1"/>
  <c r="K619" i="1" s="1"/>
  <c r="G620" i="1"/>
  <c r="K620" i="1" s="1"/>
  <c r="G621" i="1"/>
  <c r="K621" i="1" s="1"/>
  <c r="G622" i="1"/>
  <c r="K622" i="1" s="1"/>
  <c r="G623" i="1"/>
  <c r="K623" i="1" s="1"/>
  <c r="G624" i="1"/>
  <c r="K624" i="1" s="1"/>
  <c r="G625" i="1"/>
  <c r="K625" i="1" s="1"/>
  <c r="G626" i="1"/>
  <c r="K626" i="1" s="1"/>
  <c r="G627" i="1"/>
  <c r="K627" i="1" s="1"/>
  <c r="G628" i="1"/>
  <c r="K628" i="1" s="1"/>
  <c r="G629" i="1"/>
  <c r="K629" i="1" s="1"/>
  <c r="G630" i="1"/>
  <c r="K630" i="1" s="1"/>
  <c r="G631" i="1"/>
  <c r="K631" i="1" s="1"/>
  <c r="G632" i="1"/>
  <c r="K632" i="1" s="1"/>
  <c r="G633" i="1"/>
  <c r="K633" i="1" s="1"/>
  <c r="G634" i="1"/>
  <c r="K634" i="1" s="1"/>
  <c r="G635" i="1"/>
  <c r="K635" i="1" s="1"/>
  <c r="G636" i="1"/>
  <c r="K636" i="1" s="1"/>
  <c r="G637" i="1"/>
  <c r="K637" i="1" s="1"/>
  <c r="G638" i="1"/>
  <c r="K638" i="1" s="1"/>
  <c r="G639" i="1"/>
  <c r="K639" i="1" s="1"/>
  <c r="G640" i="1"/>
  <c r="K640" i="1" s="1"/>
  <c r="G641" i="1"/>
  <c r="K641" i="1" s="1"/>
  <c r="G642" i="1"/>
  <c r="K642" i="1" s="1"/>
  <c r="G643" i="1"/>
  <c r="K643" i="1" s="1"/>
  <c r="G644" i="1"/>
  <c r="K644" i="1" s="1"/>
  <c r="G645" i="1"/>
  <c r="K645" i="1" s="1"/>
  <c r="G646" i="1"/>
  <c r="K646" i="1" s="1"/>
  <c r="G647" i="1"/>
  <c r="K647" i="1" s="1"/>
  <c r="G648" i="1"/>
  <c r="K648" i="1" s="1"/>
  <c r="G649" i="1"/>
  <c r="K649" i="1" s="1"/>
  <c r="G650" i="1"/>
  <c r="K650" i="1" s="1"/>
  <c r="G651" i="1"/>
  <c r="K651" i="1" s="1"/>
  <c r="G652" i="1"/>
  <c r="K652" i="1" s="1"/>
  <c r="G653" i="1"/>
  <c r="K653" i="1" s="1"/>
  <c r="G654" i="1"/>
  <c r="K654" i="1" s="1"/>
  <c r="G655" i="1"/>
  <c r="K655" i="1" s="1"/>
  <c r="G656" i="1"/>
  <c r="K656" i="1" s="1"/>
  <c r="G657" i="1"/>
  <c r="K657" i="1" s="1"/>
  <c r="G658" i="1"/>
  <c r="K658" i="1" s="1"/>
  <c r="G659" i="1"/>
  <c r="G660" i="1"/>
  <c r="G661" i="1"/>
  <c r="G662" i="1"/>
  <c r="G663" i="1"/>
  <c r="K663" i="1" s="1"/>
  <c r="G664" i="1"/>
  <c r="K664" i="1" s="1"/>
  <c r="G665" i="1"/>
  <c r="K665" i="1" s="1"/>
  <c r="G666" i="1"/>
  <c r="K666" i="1" s="1"/>
  <c r="G667" i="1"/>
  <c r="K667" i="1" s="1"/>
  <c r="G668" i="1"/>
  <c r="K668" i="1" s="1"/>
  <c r="G669" i="1"/>
  <c r="K669" i="1" s="1"/>
  <c r="G670" i="1"/>
  <c r="K670" i="1" s="1"/>
  <c r="G671" i="1"/>
  <c r="K671" i="1" s="1"/>
  <c r="G672" i="1"/>
  <c r="K672" i="1" s="1"/>
  <c r="G673" i="1"/>
  <c r="K673" i="1" s="1"/>
  <c r="G674" i="1"/>
  <c r="K674" i="1" s="1"/>
  <c r="G675" i="1"/>
  <c r="K675" i="1" s="1"/>
  <c r="G676" i="1"/>
  <c r="K676" i="1" s="1"/>
  <c r="G677" i="1"/>
  <c r="K677" i="1" s="1"/>
  <c r="G678" i="1"/>
  <c r="K678" i="1" s="1"/>
  <c r="G679" i="1"/>
  <c r="K679" i="1" s="1"/>
  <c r="G680" i="1"/>
  <c r="K680" i="1" s="1"/>
  <c r="G681" i="1"/>
  <c r="K681" i="1" s="1"/>
  <c r="G682" i="1"/>
  <c r="K682" i="1" s="1"/>
  <c r="G683" i="1"/>
  <c r="K683" i="1" s="1"/>
  <c r="G684" i="1"/>
  <c r="K684" i="1" s="1"/>
  <c r="G685" i="1"/>
  <c r="K685" i="1" s="1"/>
  <c r="G686" i="1"/>
  <c r="K686" i="1" s="1"/>
  <c r="G687" i="1"/>
  <c r="K687" i="1" s="1"/>
  <c r="G688" i="1"/>
  <c r="K688" i="1" s="1"/>
  <c r="G689" i="1"/>
  <c r="K689" i="1" s="1"/>
  <c r="G690" i="1"/>
  <c r="K690" i="1" s="1"/>
  <c r="G691" i="1"/>
  <c r="K691" i="1" s="1"/>
  <c r="G692" i="1"/>
  <c r="K692" i="1" s="1"/>
  <c r="G693" i="1"/>
  <c r="K693" i="1" s="1"/>
  <c r="G694" i="1"/>
  <c r="K694" i="1" s="1"/>
  <c r="G695" i="1"/>
  <c r="K695" i="1" s="1"/>
  <c r="G696" i="1"/>
  <c r="K696" i="1" s="1"/>
  <c r="G697" i="1"/>
  <c r="K697" i="1" s="1"/>
  <c r="G698" i="1"/>
  <c r="K698" i="1" s="1"/>
  <c r="G699" i="1"/>
  <c r="K699" i="1" s="1"/>
  <c r="G700" i="1"/>
  <c r="K700" i="1" s="1"/>
  <c r="G701" i="1"/>
  <c r="G702" i="1"/>
  <c r="G703" i="1"/>
  <c r="K703" i="1" s="1"/>
  <c r="G704" i="1"/>
  <c r="K704" i="1" s="1"/>
  <c r="G705" i="1"/>
  <c r="K705" i="1" s="1"/>
  <c r="G706" i="1"/>
  <c r="K706" i="1" s="1"/>
  <c r="G707" i="1"/>
  <c r="K707" i="1" s="1"/>
  <c r="G708" i="1"/>
  <c r="K708" i="1" s="1"/>
  <c r="G709" i="1"/>
  <c r="K709" i="1" s="1"/>
  <c r="G710" i="1"/>
  <c r="K710" i="1" s="1"/>
  <c r="G711" i="1"/>
  <c r="K711" i="1" s="1"/>
  <c r="G712" i="1"/>
  <c r="K712" i="1" s="1"/>
  <c r="G713" i="1"/>
  <c r="K713" i="1" s="1"/>
  <c r="G714" i="1"/>
  <c r="K714" i="1" s="1"/>
  <c r="G715" i="1"/>
  <c r="K715" i="1" s="1"/>
  <c r="G716" i="1"/>
  <c r="K716" i="1" s="1"/>
  <c r="G717" i="1"/>
  <c r="K717" i="1" s="1"/>
  <c r="G718" i="1"/>
  <c r="K718" i="1" s="1"/>
  <c r="G719" i="1"/>
  <c r="K719" i="1" s="1"/>
  <c r="G720" i="1"/>
  <c r="K720" i="1" s="1"/>
  <c r="G721" i="1"/>
  <c r="K721" i="1" s="1"/>
  <c r="G722" i="1"/>
  <c r="K722" i="1" s="1"/>
  <c r="G723" i="1"/>
  <c r="K723" i="1" s="1"/>
  <c r="G724" i="1"/>
  <c r="K724" i="1" s="1"/>
  <c r="G725" i="1"/>
  <c r="K725" i="1" s="1"/>
  <c r="G726" i="1"/>
  <c r="K726" i="1" s="1"/>
  <c r="G727" i="1"/>
  <c r="K727" i="1" s="1"/>
  <c r="G728" i="1"/>
  <c r="K728" i="1" s="1"/>
  <c r="G729" i="1"/>
  <c r="K729" i="1" s="1"/>
  <c r="G730" i="1"/>
  <c r="K730" i="1" s="1"/>
  <c r="G731" i="1"/>
  <c r="K731" i="1" s="1"/>
  <c r="G732" i="1"/>
  <c r="K732" i="1" s="1"/>
  <c r="G733" i="1"/>
  <c r="K733" i="1" s="1"/>
  <c r="G734" i="1"/>
  <c r="K734" i="1" s="1"/>
  <c r="G735" i="1"/>
  <c r="K735" i="1" s="1"/>
  <c r="G736" i="1"/>
  <c r="K736" i="1" s="1"/>
  <c r="G737" i="1"/>
  <c r="K737" i="1" s="1"/>
  <c r="G738" i="1"/>
  <c r="K738" i="1" s="1"/>
  <c r="G739" i="1"/>
  <c r="K739" i="1" s="1"/>
  <c r="G740" i="1"/>
  <c r="K740" i="1" s="1"/>
  <c r="G741" i="1"/>
  <c r="K741" i="1" s="1"/>
  <c r="G2" i="1"/>
  <c r="K2" i="1" s="1"/>
</calcChain>
</file>

<file path=xl/sharedStrings.xml><?xml version="1.0" encoding="utf-8"?>
<sst xmlns="http://schemas.openxmlformats.org/spreadsheetml/2006/main" count="3738" uniqueCount="782">
  <si>
    <t>Plant</t>
  </si>
  <si>
    <t>Row</t>
  </si>
  <si>
    <t>Bay</t>
  </si>
  <si>
    <t>Level</t>
  </si>
  <si>
    <t>Side</t>
  </si>
  <si>
    <t>Location_Code</t>
  </si>
  <si>
    <t>All Area</t>
  </si>
  <si>
    <t>Zone</t>
  </si>
  <si>
    <t>Log</t>
  </si>
  <si>
    <t>A011L</t>
  </si>
  <si>
    <t>A012L</t>
  </si>
  <si>
    <t>A012R</t>
  </si>
  <si>
    <t>A013L</t>
  </si>
  <si>
    <t>A013R</t>
  </si>
  <si>
    <t>A014L</t>
  </si>
  <si>
    <t>A014R</t>
  </si>
  <si>
    <t>A015L</t>
  </si>
  <si>
    <t>A015R</t>
  </si>
  <si>
    <t>A016L</t>
  </si>
  <si>
    <t>A016R</t>
  </si>
  <si>
    <t>A021L</t>
  </si>
  <si>
    <t>A021R</t>
  </si>
  <si>
    <t>A022L</t>
  </si>
  <si>
    <t>A022R</t>
  </si>
  <si>
    <t>A023L</t>
  </si>
  <si>
    <t>A023R</t>
  </si>
  <si>
    <t>A024L</t>
  </si>
  <si>
    <t>A024R</t>
  </si>
  <si>
    <t>A025L</t>
  </si>
  <si>
    <t>A025R</t>
  </si>
  <si>
    <t>A026L</t>
  </si>
  <si>
    <t>A026R</t>
  </si>
  <si>
    <t>A031L</t>
  </si>
  <si>
    <t>A031R</t>
  </si>
  <si>
    <t>A032L</t>
  </si>
  <si>
    <t>A032R</t>
  </si>
  <si>
    <t>A033L</t>
  </si>
  <si>
    <t>A033R</t>
  </si>
  <si>
    <t>A034L</t>
  </si>
  <si>
    <t>A034R</t>
  </si>
  <si>
    <t>A035L</t>
  </si>
  <si>
    <t>A035R</t>
  </si>
  <si>
    <t>A036L</t>
  </si>
  <si>
    <t>A036R</t>
  </si>
  <si>
    <t>A041L</t>
  </si>
  <si>
    <t>A041R</t>
  </si>
  <si>
    <t>A042L</t>
  </si>
  <si>
    <t>A042R</t>
  </si>
  <si>
    <t>A043L</t>
  </si>
  <si>
    <t>A043R</t>
  </si>
  <si>
    <t>A044L</t>
  </si>
  <si>
    <t>A044R</t>
  </si>
  <si>
    <t>A045L</t>
  </si>
  <si>
    <t>A045R</t>
  </si>
  <si>
    <t>A046L</t>
  </si>
  <si>
    <t>A046R</t>
  </si>
  <si>
    <t>A051L</t>
  </si>
  <si>
    <t>A051R</t>
  </si>
  <si>
    <t>A052L</t>
  </si>
  <si>
    <t>A052R</t>
  </si>
  <si>
    <t>A053L</t>
  </si>
  <si>
    <t>A053R</t>
  </si>
  <si>
    <t>A054L</t>
  </si>
  <si>
    <t>A054R</t>
  </si>
  <si>
    <t>A055L</t>
  </si>
  <si>
    <t>A055R</t>
  </si>
  <si>
    <t>A056L</t>
  </si>
  <si>
    <t>A056R</t>
  </si>
  <si>
    <t>A061L</t>
  </si>
  <si>
    <t>A061R</t>
  </si>
  <si>
    <t>A062L</t>
  </si>
  <si>
    <t>A062R</t>
  </si>
  <si>
    <t>A063L</t>
  </si>
  <si>
    <t>A063R</t>
  </si>
  <si>
    <t>A064L</t>
  </si>
  <si>
    <t>A064R</t>
  </si>
  <si>
    <t>A065L</t>
  </si>
  <si>
    <t>A065R</t>
  </si>
  <si>
    <t>A066L</t>
  </si>
  <si>
    <t>A066R</t>
  </si>
  <si>
    <t>A071L</t>
  </si>
  <si>
    <t>A071R</t>
  </si>
  <si>
    <t>A072L</t>
  </si>
  <si>
    <t>A072R</t>
  </si>
  <si>
    <t>A073L</t>
  </si>
  <si>
    <t>A073R</t>
  </si>
  <si>
    <t>A074L</t>
  </si>
  <si>
    <t>A074R</t>
  </si>
  <si>
    <t>A075L</t>
  </si>
  <si>
    <t>A075R</t>
  </si>
  <si>
    <t>A076L</t>
  </si>
  <si>
    <t>A076R</t>
  </si>
  <si>
    <t>A081L</t>
  </si>
  <si>
    <t>A081R</t>
  </si>
  <si>
    <t>A082L</t>
  </si>
  <si>
    <t>A082R</t>
  </si>
  <si>
    <t>A083L</t>
  </si>
  <si>
    <t>A083R</t>
  </si>
  <si>
    <t>A084L</t>
  </si>
  <si>
    <t>A084R</t>
  </si>
  <si>
    <t>A085L</t>
  </si>
  <si>
    <t>A085R</t>
  </si>
  <si>
    <t>A086L</t>
  </si>
  <si>
    <t>A086R</t>
  </si>
  <si>
    <t>A091L</t>
  </si>
  <si>
    <t>A091R</t>
  </si>
  <si>
    <t>A092L</t>
  </si>
  <si>
    <t>A092R</t>
  </si>
  <si>
    <t>A093L</t>
  </si>
  <si>
    <t>A093R</t>
  </si>
  <si>
    <t>A094L</t>
  </si>
  <si>
    <t>A094R</t>
  </si>
  <si>
    <t>A095L</t>
  </si>
  <si>
    <t>A095R</t>
  </si>
  <si>
    <t>A096L</t>
  </si>
  <si>
    <t>A096R</t>
  </si>
  <si>
    <t>A101L</t>
  </si>
  <si>
    <t>A101R</t>
  </si>
  <si>
    <t>A102L</t>
  </si>
  <si>
    <t>A102R</t>
  </si>
  <si>
    <t>A103L</t>
  </si>
  <si>
    <t>A103R</t>
  </si>
  <si>
    <t>A104L</t>
  </si>
  <si>
    <t>A104R</t>
  </si>
  <si>
    <t>A105L</t>
  </si>
  <si>
    <t>A105R</t>
  </si>
  <si>
    <t>A106L</t>
  </si>
  <si>
    <t>A106R</t>
  </si>
  <si>
    <t>A111L</t>
  </si>
  <si>
    <t>A111R</t>
  </si>
  <si>
    <t>A112L</t>
  </si>
  <si>
    <t>A112R</t>
  </si>
  <si>
    <t>A113L</t>
  </si>
  <si>
    <t>A113R</t>
  </si>
  <si>
    <t>A114L</t>
  </si>
  <si>
    <t>A114R</t>
  </si>
  <si>
    <t>A115L</t>
  </si>
  <si>
    <t>A115R</t>
  </si>
  <si>
    <t>A116L</t>
  </si>
  <si>
    <t>A116R</t>
  </si>
  <si>
    <t>A121L</t>
  </si>
  <si>
    <t>A121R</t>
  </si>
  <si>
    <t>A122L</t>
  </si>
  <si>
    <t>A122R</t>
  </si>
  <si>
    <t>A123L</t>
  </si>
  <si>
    <t>A123R</t>
  </si>
  <si>
    <t>A124L</t>
  </si>
  <si>
    <t>A124R</t>
  </si>
  <si>
    <t>A125L</t>
  </si>
  <si>
    <t>A125R</t>
  </si>
  <si>
    <t>A126L</t>
  </si>
  <si>
    <t>A126R</t>
  </si>
  <si>
    <t>B011L</t>
  </si>
  <si>
    <t>B011R</t>
  </si>
  <si>
    <t>B012L</t>
  </si>
  <si>
    <t>B012R</t>
  </si>
  <si>
    <t>B013L</t>
  </si>
  <si>
    <t>B013R</t>
  </si>
  <si>
    <t>B014L</t>
  </si>
  <si>
    <t>B014R</t>
  </si>
  <si>
    <t>B015L</t>
  </si>
  <si>
    <t>B015R</t>
  </si>
  <si>
    <t>B016L</t>
  </si>
  <si>
    <t>B016R</t>
  </si>
  <si>
    <t>B021L</t>
  </si>
  <si>
    <t>B021R</t>
  </si>
  <si>
    <t>B022L</t>
  </si>
  <si>
    <t>B022R</t>
  </si>
  <si>
    <t>B023L</t>
  </si>
  <si>
    <t>B023R</t>
  </si>
  <si>
    <t>B024L</t>
  </si>
  <si>
    <t>B024R</t>
  </si>
  <si>
    <t>B025L</t>
  </si>
  <si>
    <t>B025R</t>
  </si>
  <si>
    <t>B026L</t>
  </si>
  <si>
    <t>B026R</t>
  </si>
  <si>
    <t>B031L</t>
  </si>
  <si>
    <t>B031R</t>
  </si>
  <si>
    <t>B032L</t>
  </si>
  <si>
    <t>B032R</t>
  </si>
  <si>
    <t>B033L</t>
  </si>
  <si>
    <t>B033R</t>
  </si>
  <si>
    <t>B034L</t>
  </si>
  <si>
    <t>B034R</t>
  </si>
  <si>
    <t>B035L</t>
  </si>
  <si>
    <t>B035R</t>
  </si>
  <si>
    <t>B036L</t>
  </si>
  <si>
    <t>B036R</t>
  </si>
  <si>
    <t>B041L</t>
  </si>
  <si>
    <t>B041R</t>
  </si>
  <si>
    <t>B042L</t>
  </si>
  <si>
    <t>B042R</t>
  </si>
  <si>
    <t>B043L</t>
  </si>
  <si>
    <t>B043R</t>
  </si>
  <si>
    <t>B044L</t>
  </si>
  <si>
    <t>B044R</t>
  </si>
  <si>
    <t>B045L</t>
  </si>
  <si>
    <t>B045R</t>
  </si>
  <si>
    <t>B046L</t>
  </si>
  <si>
    <t>B046R</t>
  </si>
  <si>
    <t>B051L</t>
  </si>
  <si>
    <t>B051R</t>
  </si>
  <si>
    <t>B052L</t>
  </si>
  <si>
    <t>B052R</t>
  </si>
  <si>
    <t>B053L</t>
  </si>
  <si>
    <t>B053R</t>
  </si>
  <si>
    <t>B054L</t>
  </si>
  <si>
    <t>B054R</t>
  </si>
  <si>
    <t>B055L</t>
  </si>
  <si>
    <t>B055R</t>
  </si>
  <si>
    <t>B056L</t>
  </si>
  <si>
    <t>B056R</t>
  </si>
  <si>
    <t>B061L</t>
  </si>
  <si>
    <t>B061R</t>
  </si>
  <si>
    <t>B062L</t>
  </si>
  <si>
    <t>B062R</t>
  </si>
  <si>
    <t>B063L</t>
  </si>
  <si>
    <t>B063R</t>
  </si>
  <si>
    <t>B064L</t>
  </si>
  <si>
    <t>B064R</t>
  </si>
  <si>
    <t>B065L</t>
  </si>
  <si>
    <t>B065R</t>
  </si>
  <si>
    <t>B066L</t>
  </si>
  <si>
    <t>B066R</t>
  </si>
  <si>
    <t>B071L</t>
  </si>
  <si>
    <t>B071R</t>
  </si>
  <si>
    <t>B072L</t>
  </si>
  <si>
    <t>B072R</t>
  </si>
  <si>
    <t>B073L</t>
  </si>
  <si>
    <t>B073R</t>
  </si>
  <si>
    <t>B074L</t>
  </si>
  <si>
    <t>B074R</t>
  </si>
  <si>
    <t>B075L</t>
  </si>
  <si>
    <t>B075R</t>
  </si>
  <si>
    <t>B076L</t>
  </si>
  <si>
    <t>B076R</t>
  </si>
  <si>
    <t>B081L</t>
  </si>
  <si>
    <t>B081R</t>
  </si>
  <si>
    <t>B082L</t>
  </si>
  <si>
    <t>B082R</t>
  </si>
  <si>
    <t>B083L</t>
  </si>
  <si>
    <t>B083R</t>
  </si>
  <si>
    <t>B084L</t>
  </si>
  <si>
    <t>B084R</t>
  </si>
  <si>
    <t>B085L</t>
  </si>
  <si>
    <t>B085R</t>
  </si>
  <si>
    <t>B086L</t>
  </si>
  <si>
    <t>B086R</t>
  </si>
  <si>
    <t>B091L</t>
  </si>
  <si>
    <t>B091R</t>
  </si>
  <si>
    <t>B092L</t>
  </si>
  <si>
    <t>B092R</t>
  </si>
  <si>
    <t>B093L</t>
  </si>
  <si>
    <t>B093R</t>
  </si>
  <si>
    <t>B094L</t>
  </si>
  <si>
    <t>B094R</t>
  </si>
  <si>
    <t>B095L</t>
  </si>
  <si>
    <t>B095R</t>
  </si>
  <si>
    <t>B096L</t>
  </si>
  <si>
    <t>B096R</t>
  </si>
  <si>
    <t>B101L</t>
  </si>
  <si>
    <t>B101R</t>
  </si>
  <si>
    <t>B102L</t>
  </si>
  <si>
    <t>B102R</t>
  </si>
  <si>
    <t>B103L</t>
  </si>
  <si>
    <t>B103R</t>
  </si>
  <si>
    <t>B104L</t>
  </si>
  <si>
    <t>B104R</t>
  </si>
  <si>
    <t>B105L</t>
  </si>
  <si>
    <t>B105R</t>
  </si>
  <si>
    <t>B106L</t>
  </si>
  <si>
    <t>B106R</t>
  </si>
  <si>
    <t>B111L</t>
  </si>
  <si>
    <t>B111R</t>
  </si>
  <si>
    <t>B112L</t>
  </si>
  <si>
    <t>B112R</t>
  </si>
  <si>
    <t>B113L</t>
  </si>
  <si>
    <t>B113R</t>
  </si>
  <si>
    <t>B114L</t>
  </si>
  <si>
    <t>B114R</t>
  </si>
  <si>
    <t>B115L</t>
  </si>
  <si>
    <t>B115R</t>
  </si>
  <si>
    <t>B116L</t>
  </si>
  <si>
    <t>B116R</t>
  </si>
  <si>
    <t>B121L</t>
  </si>
  <si>
    <t>B121R</t>
  </si>
  <si>
    <t>B122L</t>
  </si>
  <si>
    <t>B122R</t>
  </si>
  <si>
    <t>B123L</t>
  </si>
  <si>
    <t>B123R</t>
  </si>
  <si>
    <t>B124L</t>
  </si>
  <si>
    <t>B124R</t>
  </si>
  <si>
    <t>B125L</t>
  </si>
  <si>
    <t>B125R</t>
  </si>
  <si>
    <t>B126L</t>
  </si>
  <si>
    <t>B126R</t>
  </si>
  <si>
    <t>C011L</t>
  </si>
  <si>
    <t>C011R</t>
  </si>
  <si>
    <t>C012L</t>
  </si>
  <si>
    <t>C012R</t>
  </si>
  <si>
    <t>C013L</t>
  </si>
  <si>
    <t>C013R</t>
  </si>
  <si>
    <t>C014L</t>
  </si>
  <si>
    <t>C014R</t>
  </si>
  <si>
    <t>C015L</t>
  </si>
  <si>
    <t>C015R</t>
  </si>
  <si>
    <t>C016L</t>
  </si>
  <si>
    <t>C016R</t>
  </si>
  <si>
    <t>C021L</t>
  </si>
  <si>
    <t>C021R</t>
  </si>
  <si>
    <t>C022L</t>
  </si>
  <si>
    <t>C022R</t>
  </si>
  <si>
    <t>C023L</t>
  </si>
  <si>
    <t>C023R</t>
  </si>
  <si>
    <t>C024L</t>
  </si>
  <si>
    <t>C024R</t>
  </si>
  <si>
    <t>C025L</t>
  </si>
  <si>
    <t>C025R</t>
  </si>
  <si>
    <t>C026L</t>
  </si>
  <si>
    <t>C031L</t>
  </si>
  <si>
    <t>C031R</t>
  </si>
  <si>
    <t>C032L</t>
  </si>
  <si>
    <t>C032R</t>
  </si>
  <si>
    <t>C033L</t>
  </si>
  <si>
    <t>C033R</t>
  </si>
  <si>
    <t>C034L</t>
  </si>
  <si>
    <t>C034R</t>
  </si>
  <si>
    <t>C036L</t>
  </si>
  <si>
    <t>C036R</t>
  </si>
  <si>
    <t>C041L</t>
  </si>
  <si>
    <t>C041R</t>
  </si>
  <si>
    <t>C042L</t>
  </si>
  <si>
    <t>C042R</t>
  </si>
  <si>
    <t>C043L</t>
  </si>
  <si>
    <t>C043R</t>
  </si>
  <si>
    <t>C044L</t>
  </si>
  <si>
    <t>C044R</t>
  </si>
  <si>
    <t>C045L</t>
  </si>
  <si>
    <t>C045R</t>
  </si>
  <si>
    <t>C046L</t>
  </si>
  <si>
    <t>C046R</t>
  </si>
  <si>
    <t>C051L</t>
  </si>
  <si>
    <t>C051R</t>
  </si>
  <si>
    <t>C052L</t>
  </si>
  <si>
    <t>C052R</t>
  </si>
  <si>
    <t>C053L</t>
  </si>
  <si>
    <t>C053R</t>
  </si>
  <si>
    <t>C054L</t>
  </si>
  <si>
    <t>C054R</t>
  </si>
  <si>
    <t>C055L</t>
  </si>
  <si>
    <t>C055R</t>
  </si>
  <si>
    <t>C056L</t>
  </si>
  <si>
    <t>C056R</t>
  </si>
  <si>
    <t>C061L</t>
  </si>
  <si>
    <t>C061R</t>
  </si>
  <si>
    <t>C062L</t>
  </si>
  <si>
    <t>C062R</t>
  </si>
  <si>
    <t>C063L</t>
  </si>
  <si>
    <t>C063R</t>
  </si>
  <si>
    <t>C064L</t>
  </si>
  <si>
    <t>C064R</t>
  </si>
  <si>
    <t>C065L</t>
  </si>
  <si>
    <t>C065R</t>
  </si>
  <si>
    <t>C066L</t>
  </si>
  <si>
    <t>C066R</t>
  </si>
  <si>
    <t>C071L</t>
  </si>
  <si>
    <t>C071R</t>
  </si>
  <si>
    <t>C072L</t>
  </si>
  <si>
    <t>C072R</t>
  </si>
  <si>
    <t>C073L</t>
  </si>
  <si>
    <t>C073R</t>
  </si>
  <si>
    <t>C074L</t>
  </si>
  <si>
    <t>C074R</t>
  </si>
  <si>
    <t>C075L</t>
  </si>
  <si>
    <t>C075R</t>
  </si>
  <si>
    <t>C076L</t>
  </si>
  <si>
    <t>C076R</t>
  </si>
  <si>
    <t>C081L</t>
  </si>
  <si>
    <t>C081R</t>
  </si>
  <si>
    <t>C082L</t>
  </si>
  <si>
    <t>C082R</t>
  </si>
  <si>
    <t>C083L</t>
  </si>
  <si>
    <t>C083R</t>
  </si>
  <si>
    <t>C084L</t>
  </si>
  <si>
    <t>C084R</t>
  </si>
  <si>
    <t>C085L</t>
  </si>
  <si>
    <t>C085R</t>
  </si>
  <si>
    <t>C086L</t>
  </si>
  <si>
    <t>C086R</t>
  </si>
  <si>
    <t>C091L</t>
  </si>
  <si>
    <t>C091R</t>
  </si>
  <si>
    <t>C092L</t>
  </si>
  <si>
    <t>C092R</t>
  </si>
  <si>
    <t>C093L</t>
  </si>
  <si>
    <t>C093R</t>
  </si>
  <si>
    <t>C094L</t>
  </si>
  <si>
    <t>C094R</t>
  </si>
  <si>
    <t>C095L</t>
  </si>
  <si>
    <t>C095R</t>
  </si>
  <si>
    <t>C096L</t>
  </si>
  <si>
    <t>C101L</t>
  </si>
  <si>
    <t>C101R</t>
  </si>
  <si>
    <t>C102L</t>
  </si>
  <si>
    <t>C102R</t>
  </si>
  <si>
    <t>C103L</t>
  </si>
  <si>
    <t>C103R</t>
  </si>
  <si>
    <t>C104L</t>
  </si>
  <si>
    <t>C104R</t>
  </si>
  <si>
    <t>C105L</t>
  </si>
  <si>
    <t>C105R</t>
  </si>
  <si>
    <t>C106L</t>
  </si>
  <si>
    <t>C106R</t>
  </si>
  <si>
    <t>C111L</t>
  </si>
  <si>
    <t>C111R</t>
  </si>
  <si>
    <t>C112L</t>
  </si>
  <si>
    <t>C112R</t>
  </si>
  <si>
    <t>C113L</t>
  </si>
  <si>
    <t>C113R</t>
  </si>
  <si>
    <t>C114L</t>
  </si>
  <si>
    <t>C114R</t>
  </si>
  <si>
    <t>C115L</t>
  </si>
  <si>
    <t>C115R</t>
  </si>
  <si>
    <t>C116R</t>
  </si>
  <si>
    <t>C122L</t>
  </si>
  <si>
    <t>C122R</t>
  </si>
  <si>
    <t>C123L</t>
  </si>
  <si>
    <t>C123R</t>
  </si>
  <si>
    <t>C124L</t>
  </si>
  <si>
    <t>C124R</t>
  </si>
  <si>
    <t>C125L</t>
  </si>
  <si>
    <t>C125R</t>
  </si>
  <si>
    <t>C126L</t>
  </si>
  <si>
    <t>C126R</t>
  </si>
  <si>
    <t>D011L</t>
  </si>
  <si>
    <t>D011R</t>
  </si>
  <si>
    <t>D012L</t>
  </si>
  <si>
    <t>D012R</t>
  </si>
  <si>
    <t>D013L</t>
  </si>
  <si>
    <t>D013R</t>
  </si>
  <si>
    <t>D014L</t>
  </si>
  <si>
    <t>D014R</t>
  </si>
  <si>
    <t>D015L</t>
  </si>
  <si>
    <t>D015R</t>
  </si>
  <si>
    <t>D016L</t>
  </si>
  <si>
    <t>D016R</t>
  </si>
  <si>
    <t>D021L</t>
  </si>
  <si>
    <t>D021R</t>
  </si>
  <si>
    <t>D022L</t>
  </si>
  <si>
    <t>D022R</t>
  </si>
  <si>
    <t>D023L</t>
  </si>
  <si>
    <t>D023R</t>
  </si>
  <si>
    <t>D024L</t>
  </si>
  <si>
    <t>D024R</t>
  </si>
  <si>
    <t>D025L</t>
  </si>
  <si>
    <t>D025R</t>
  </si>
  <si>
    <t>D026L</t>
  </si>
  <si>
    <t>D026R</t>
  </si>
  <si>
    <t>D031L</t>
  </si>
  <si>
    <t>D031R</t>
  </si>
  <si>
    <t>D032L</t>
  </si>
  <si>
    <t>D032R</t>
  </si>
  <si>
    <t>D033L</t>
  </si>
  <si>
    <t>D033R</t>
  </si>
  <si>
    <t>D034L</t>
  </si>
  <si>
    <t>D034R</t>
  </si>
  <si>
    <t>D035L</t>
  </si>
  <si>
    <t>D035R</t>
  </si>
  <si>
    <t>D036L</t>
  </si>
  <si>
    <t>D036R</t>
  </si>
  <si>
    <t>D041L</t>
  </si>
  <si>
    <t>D041R</t>
  </si>
  <si>
    <t>D042L</t>
  </si>
  <si>
    <t>D042R</t>
  </si>
  <si>
    <t>D043L</t>
  </si>
  <si>
    <t>D043R</t>
  </si>
  <si>
    <t>D044L</t>
  </si>
  <si>
    <t>D044R</t>
  </si>
  <si>
    <t>D045L</t>
  </si>
  <si>
    <t>D045R</t>
  </si>
  <si>
    <t>D046R</t>
  </si>
  <si>
    <t>D051L</t>
  </si>
  <si>
    <t>D051R</t>
  </si>
  <si>
    <t>D052L</t>
  </si>
  <si>
    <t>D052R</t>
  </si>
  <si>
    <t>D053L</t>
  </si>
  <si>
    <t>D053R</t>
  </si>
  <si>
    <t>D054L</t>
  </si>
  <si>
    <t>D054R</t>
  </si>
  <si>
    <t>D055L</t>
  </si>
  <si>
    <t>D055R</t>
  </si>
  <si>
    <t>D056L</t>
  </si>
  <si>
    <t>D056R</t>
  </si>
  <si>
    <t>D061L</t>
  </si>
  <si>
    <t>D061R</t>
  </si>
  <si>
    <t>D062L</t>
  </si>
  <si>
    <t>D062R</t>
  </si>
  <si>
    <t>D063L</t>
  </si>
  <si>
    <t>D063R</t>
  </si>
  <si>
    <t>D064L</t>
  </si>
  <si>
    <t>D064R</t>
  </si>
  <si>
    <t>D065L</t>
  </si>
  <si>
    <t>D065R</t>
  </si>
  <si>
    <t>D066L</t>
  </si>
  <si>
    <t>D066R</t>
  </si>
  <si>
    <t>D071L</t>
  </si>
  <si>
    <t>D071R</t>
  </si>
  <si>
    <t>D072L</t>
  </si>
  <si>
    <t>D072R</t>
  </si>
  <si>
    <t>D073L</t>
  </si>
  <si>
    <t>D073R</t>
  </si>
  <si>
    <t>D074L</t>
  </si>
  <si>
    <t>D074R</t>
  </si>
  <si>
    <t>D075L</t>
  </si>
  <si>
    <t>D075R</t>
  </si>
  <si>
    <t>D076L</t>
  </si>
  <si>
    <t>D076R</t>
  </si>
  <si>
    <t>D081L</t>
  </si>
  <si>
    <t>D081R</t>
  </si>
  <si>
    <t>D082L</t>
  </si>
  <si>
    <t>D082R</t>
  </si>
  <si>
    <t>D083L</t>
  </si>
  <si>
    <t>D083R</t>
  </si>
  <si>
    <t>D084L</t>
  </si>
  <si>
    <t>D084R</t>
  </si>
  <si>
    <t>D085L</t>
  </si>
  <si>
    <t>D085R</t>
  </si>
  <si>
    <t>D086L</t>
  </si>
  <si>
    <t>D091L</t>
  </si>
  <si>
    <t>D091R</t>
  </si>
  <si>
    <t>D092L</t>
  </si>
  <si>
    <t>D092R</t>
  </si>
  <si>
    <t>D093L</t>
  </si>
  <si>
    <t>D093R</t>
  </si>
  <si>
    <t>D094L</t>
  </si>
  <si>
    <t>D094R</t>
  </si>
  <si>
    <t>D095L</t>
  </si>
  <si>
    <t>D095R</t>
  </si>
  <si>
    <t>D096L</t>
  </si>
  <si>
    <t>D096R</t>
  </si>
  <si>
    <t>D101L</t>
  </si>
  <si>
    <t>D101R</t>
  </si>
  <si>
    <t>D102L</t>
  </si>
  <si>
    <t>D102R</t>
  </si>
  <si>
    <t>D103L</t>
  </si>
  <si>
    <t>D103R</t>
  </si>
  <si>
    <t>D104L</t>
  </si>
  <si>
    <t>D104R</t>
  </si>
  <si>
    <t>D105L</t>
  </si>
  <si>
    <t>D105R</t>
  </si>
  <si>
    <t>D106L</t>
  </si>
  <si>
    <t>D106R</t>
  </si>
  <si>
    <t>D111L</t>
  </si>
  <si>
    <t>D111R</t>
  </si>
  <si>
    <t>D112L</t>
  </si>
  <si>
    <t>D112R</t>
  </si>
  <si>
    <t>D113L</t>
  </si>
  <si>
    <t>D113R</t>
  </si>
  <si>
    <t>D114L</t>
  </si>
  <si>
    <t>D114R</t>
  </si>
  <si>
    <t>D115L</t>
  </si>
  <si>
    <t>D115R</t>
  </si>
  <si>
    <t>D116R</t>
  </si>
  <si>
    <t>D121L</t>
  </si>
  <si>
    <t>D121R</t>
  </si>
  <si>
    <t>D122L</t>
  </si>
  <si>
    <t>D122R</t>
  </si>
  <si>
    <t>D123L</t>
  </si>
  <si>
    <t>D123R</t>
  </si>
  <si>
    <t>D124L</t>
  </si>
  <si>
    <t>D124R</t>
  </si>
  <si>
    <t>D125L</t>
  </si>
  <si>
    <t>D125R</t>
  </si>
  <si>
    <t>D126L</t>
  </si>
  <si>
    <t>D126R</t>
  </si>
  <si>
    <t>D134L</t>
  </si>
  <si>
    <t>D134R</t>
  </si>
  <si>
    <t>D135L</t>
  </si>
  <si>
    <t>D135R</t>
  </si>
  <si>
    <t>D136L</t>
  </si>
  <si>
    <t>D136R</t>
  </si>
  <si>
    <t>D141L</t>
  </si>
  <si>
    <t>D141R</t>
  </si>
  <si>
    <t>D142L</t>
  </si>
  <si>
    <t>D142R</t>
  </si>
  <si>
    <t>D143L</t>
  </si>
  <si>
    <t>D143R</t>
  </si>
  <si>
    <t>D144L</t>
  </si>
  <si>
    <t>D144R</t>
  </si>
  <si>
    <t>D145L</t>
  </si>
  <si>
    <t>D145R</t>
  </si>
  <si>
    <t>D146L</t>
  </si>
  <si>
    <t>D146R</t>
  </si>
  <si>
    <t>E011L</t>
  </si>
  <si>
    <t>E011R</t>
  </si>
  <si>
    <t>E012L</t>
  </si>
  <si>
    <t>E012R</t>
  </si>
  <si>
    <t>E013L</t>
  </si>
  <si>
    <t>E013R</t>
  </si>
  <si>
    <t>E014L</t>
  </si>
  <si>
    <t>E014R</t>
  </si>
  <si>
    <t>E015L</t>
  </si>
  <si>
    <t>E015R</t>
  </si>
  <si>
    <t>E016R</t>
  </si>
  <si>
    <t>E021L</t>
  </si>
  <si>
    <t>E021R</t>
  </si>
  <si>
    <t>E022L</t>
  </si>
  <si>
    <t>E022R</t>
  </si>
  <si>
    <t>E023L</t>
  </si>
  <si>
    <t>E023R</t>
  </si>
  <si>
    <t>E024L</t>
  </si>
  <si>
    <t>E024R</t>
  </si>
  <si>
    <t>E025L</t>
  </si>
  <si>
    <t>E025R</t>
  </si>
  <si>
    <t>E026L</t>
  </si>
  <si>
    <t>E026R</t>
  </si>
  <si>
    <t>E031L</t>
  </si>
  <si>
    <t>E031R</t>
  </si>
  <si>
    <t>E032L</t>
  </si>
  <si>
    <t>E032R</t>
  </si>
  <si>
    <t>E033L</t>
  </si>
  <si>
    <t>E033R</t>
  </si>
  <si>
    <t>E034L</t>
  </si>
  <si>
    <t>E034R</t>
  </si>
  <si>
    <t>E035L</t>
  </si>
  <si>
    <t>E035R</t>
  </si>
  <si>
    <t>E036L</t>
  </si>
  <si>
    <t>E036R</t>
  </si>
  <si>
    <t>E041L</t>
  </si>
  <si>
    <t>E041R</t>
  </si>
  <si>
    <t>E042L</t>
  </si>
  <si>
    <t>E042R</t>
  </si>
  <si>
    <t>E043L</t>
  </si>
  <si>
    <t>E043R</t>
  </si>
  <si>
    <t>E044L</t>
  </si>
  <si>
    <t>E044R</t>
  </si>
  <si>
    <t>E045L</t>
  </si>
  <si>
    <t>E045R</t>
  </si>
  <si>
    <t>E046L</t>
  </si>
  <si>
    <t>E051L</t>
  </si>
  <si>
    <t>E051R</t>
  </si>
  <si>
    <t>E052L</t>
  </si>
  <si>
    <t>E052R</t>
  </si>
  <si>
    <t>E053L</t>
  </si>
  <si>
    <t>E053R</t>
  </si>
  <si>
    <t>E054L</t>
  </si>
  <si>
    <t>E054R</t>
  </si>
  <si>
    <t>E055L</t>
  </si>
  <si>
    <t>E055R</t>
  </si>
  <si>
    <t>E056L</t>
  </si>
  <si>
    <t>E056R</t>
  </si>
  <si>
    <t>E061L</t>
  </si>
  <si>
    <t>E061R</t>
  </si>
  <si>
    <t>E062L</t>
  </si>
  <si>
    <t>E062R</t>
  </si>
  <si>
    <t>E063L</t>
  </si>
  <si>
    <t>E063R</t>
  </si>
  <si>
    <t>E064L</t>
  </si>
  <si>
    <t>E064R</t>
  </si>
  <si>
    <t>E065L</t>
  </si>
  <si>
    <t>E065R</t>
  </si>
  <si>
    <t>E066L</t>
  </si>
  <si>
    <t>E066R</t>
  </si>
  <si>
    <t>E071L</t>
  </si>
  <si>
    <t>E071R</t>
  </si>
  <si>
    <t>E072L</t>
  </si>
  <si>
    <t>E072R</t>
  </si>
  <si>
    <t>E073L</t>
  </si>
  <si>
    <t>E073R</t>
  </si>
  <si>
    <t>E074L</t>
  </si>
  <si>
    <t>E074R</t>
  </si>
  <si>
    <t>E075L</t>
  </si>
  <si>
    <t>E075R</t>
  </si>
  <si>
    <t>E076L</t>
  </si>
  <si>
    <t>E076R</t>
  </si>
  <si>
    <t>E081L</t>
  </si>
  <si>
    <t>E081R</t>
  </si>
  <si>
    <t>E082L</t>
  </si>
  <si>
    <t>E082R</t>
  </si>
  <si>
    <t>E083L</t>
  </si>
  <si>
    <t>E083R</t>
  </si>
  <si>
    <t>E084L</t>
  </si>
  <si>
    <t>E084R</t>
  </si>
  <si>
    <t>E085L</t>
  </si>
  <si>
    <t>E085R</t>
  </si>
  <si>
    <t>E086R</t>
  </si>
  <si>
    <t>E091L</t>
  </si>
  <si>
    <t>E091R</t>
  </si>
  <si>
    <t>E092L</t>
  </si>
  <si>
    <t>E092R</t>
  </si>
  <si>
    <t>E093L</t>
  </si>
  <si>
    <t>E093R</t>
  </si>
  <si>
    <t>E094L</t>
  </si>
  <si>
    <t>E094R</t>
  </si>
  <si>
    <t>E095L</t>
  </si>
  <si>
    <t>E095R</t>
  </si>
  <si>
    <t>E096L</t>
  </si>
  <si>
    <t>E096R</t>
  </si>
  <si>
    <t>E101L</t>
  </si>
  <si>
    <t>E101R</t>
  </si>
  <si>
    <t>E102L</t>
  </si>
  <si>
    <t>E102R</t>
  </si>
  <si>
    <t>E103L</t>
  </si>
  <si>
    <t>E103R</t>
  </si>
  <si>
    <t>E104L</t>
  </si>
  <si>
    <t>E104R</t>
  </si>
  <si>
    <t>E105L</t>
  </si>
  <si>
    <t>E105R</t>
  </si>
  <si>
    <t>E106L</t>
  </si>
  <si>
    <t>E106R</t>
  </si>
  <si>
    <t>E111L</t>
  </si>
  <si>
    <t>E111R</t>
  </si>
  <si>
    <t>E112L</t>
  </si>
  <si>
    <t>E112R</t>
  </si>
  <si>
    <t>E113L</t>
  </si>
  <si>
    <t>E113R</t>
  </si>
  <si>
    <t>E114L</t>
  </si>
  <si>
    <t>E114R</t>
  </si>
  <si>
    <t>E115L</t>
  </si>
  <si>
    <t>E115R</t>
  </si>
  <si>
    <t>E116L</t>
  </si>
  <si>
    <t>E121L</t>
  </si>
  <si>
    <t>E121R</t>
  </si>
  <si>
    <t>E122L</t>
  </si>
  <si>
    <t>E122R</t>
  </si>
  <si>
    <t>E123L</t>
  </si>
  <si>
    <t>E123R</t>
  </si>
  <si>
    <t>E124L</t>
  </si>
  <si>
    <t>E124R</t>
  </si>
  <si>
    <t>E125L</t>
  </si>
  <si>
    <t>E125R</t>
  </si>
  <si>
    <t>E126L</t>
  </si>
  <si>
    <t>E126R</t>
  </si>
  <si>
    <t>E134L</t>
  </si>
  <si>
    <t>E134R</t>
  </si>
  <si>
    <t>E135L</t>
  </si>
  <si>
    <t>E135R</t>
  </si>
  <si>
    <t>E136R</t>
  </si>
  <si>
    <t>E141L</t>
  </si>
  <si>
    <t>E141R</t>
  </si>
  <si>
    <t>E142L</t>
  </si>
  <si>
    <t>E142R</t>
  </si>
  <si>
    <t>E143L</t>
  </si>
  <si>
    <t>E143R</t>
  </si>
  <si>
    <t>E144L</t>
  </si>
  <si>
    <t>E144R</t>
  </si>
  <si>
    <t>E145L</t>
  </si>
  <si>
    <t>E145R</t>
  </si>
  <si>
    <t>E146L</t>
  </si>
  <si>
    <t>E146R</t>
  </si>
  <si>
    <t>A</t>
  </si>
  <si>
    <t>01</t>
  </si>
  <si>
    <t>L</t>
  </si>
  <si>
    <t>R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</si>
  <si>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</si>
  <si>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</si>
  <si>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</si>
  <si>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</si>
  <si>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</si>
  <si>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</si>
  <si>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</si>
  <si>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</si>
  <si>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</si>
  <si>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</si>
  <si>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</si>
  <si>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B</t>
  </si>
  <si>
    <t>C</t>
  </si>
  <si>
    <t>D</t>
  </si>
  <si>
    <t>13</t>
  </si>
  <si>
    <t>14</t>
  </si>
  <si>
    <t>E</t>
  </si>
  <si>
    <t>Max Bay</t>
  </si>
  <si>
    <t>F</t>
  </si>
  <si>
    <t>G</t>
  </si>
  <si>
    <t>H</t>
  </si>
  <si>
    <t>I</t>
  </si>
  <si>
    <t>J</t>
  </si>
  <si>
    <t>K</t>
  </si>
  <si>
    <t>current level</t>
  </si>
  <si>
    <t>Current Side</t>
  </si>
  <si>
    <t>PS1</t>
  </si>
  <si>
    <t>PS2</t>
  </si>
  <si>
    <t>StartSide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</si>
</sst>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2632E-84E8-476A-AFD1-0D95C434334A}" name="Table2" displayName="Table2" ref="A1:M741" totalsRowShown="0">
  <autoFilter ref="A1:M741" xr:uid="{49D2632E-84E8-476A-AFD1-0D95C434334A}"/>
  <tableColumns count="13">
    <tableColumn id="1" xr3:uid="{029FFDD7-A7BF-420A-93BF-877F8C722A61}" name="All Area"/>
    <tableColumn id="2" xr3:uid="{91BBF833-D9EC-4524-B228-831784A9D83E}" name="Zone"/>
    <tableColumn id="3" xr3:uid="{757F81CA-024F-4B2F-AA5E-7E86735ABD4C}" name="Log"/>
    <tableColumn id="4" xr3:uid="{76B1013B-77A1-4D39-96E1-89650D39BD8E}" name="current level"/>
    <tableColumn id="5" xr3:uid="{6DE3F092-BFC3-4383-9903-12577162DF4C}" name="Current Side"/>
    <tableColumn id="6" xr3:uid="{E7BE04D8-BDD1-4BBB-A0CE-F7258058DF47}" name="Plant"/>
    <tableColumn id="7" xr3:uid="{92D6BF5A-659A-4C7A-B6B8-9A98737B14E4}" name="Row">
      <calculatedColumnFormula>B2</calculatedColumnFormula>
    </tableColumn>
    <tableColumn id="8" xr3:uid="{63513D39-F31D-4789-9FF2-BE232E8791E7}" name="Max Bay" dataDxfId="6">
      <calculatedColumnFormula>_xlfn.XLOOKUP(Table2[[#This Row],[Zone]],Table1[Row],Table1[Max Bay],_xleta.NA,0)</calculatedColumnFormula>
    </tableColumn>
    <tableColumn id="9" xr3:uid="{4133D731-9480-4303-B815-F6789DD421AA}" name="Bay" dataDxfId="5">
      <calculatedColumnFormula>TEXT(H2-INT(C2)+1,"00")</calculatedColumnFormula>
    </tableColumn>
    <tableColumn id="10" xr3:uid="{030E1A32-11FA-4ED3-84F6-A8381EA78164}" name="Level" dataDxfId="4">
      <calculatedColumnFormula>D2</calculatedColumnFormula>
    </tableColumn>
    <tableColumn id="13" xr3:uid="{B6E88E64-754A-4459-B68C-8A308F3384B8}" name="StartSide" dataDxfId="2">
      <calculatedColumnFormula>_xlfn.XLOOKUP(Table2[[#This Row],[Row]],Table1[Row],Table1[StartSide],0)</calculatedColumnFormula>
    </tableColumn>
    <tableColumn id="11" xr3:uid="{1E6A831A-0867-488F-BFF0-31282468C933}" name="Side" dataDxfId="1">
      <calculatedColumnFormula>E2</calculatedColumnFormula>
    </tableColumn>
    <tableColumn id="12" xr3:uid="{173136E3-4C19-428B-89B5-3C4A3DA3406C}" name="Location_Code" dataDxfId="0">
      <calculatedColumnFormula>_xlfn.CONCAT(F2,"_",G2,I2,"_",J2,"_",L2)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BF2A38-0168-4548-9011-D66C7DE2EE97}" name="Table1" displayName="Table1" ref="B2:D13" totalsRowShown="0">
  <autoFilter ref="B2:D13" xr:uid="{5EBF2A38-0168-4548-9011-D66C7DE2EE97}"/>
  <tableColumns count="3">
    <tableColumn id="1" xr3:uid="{8BC958D2-779C-40FF-B97B-0D1EA09DD584}" name="Row"/>
    <tableColumn id="2" xr3:uid="{A9ECE884-A834-45D5-8AEB-3AD6989ACB54}" name="Max Bay"/>
    <tableColumn id="3" xr3:uid="{6DD7BD0D-CC50-4F1D-B6D0-E8DBEF9C0126}" name="StartSid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F4C-A802-4FC0-8698-149E23741FEF}">
  <dimension ref="A1:M741"/>
  <sheetViews>
    <sheetView tabSelected="1" workbookViewId="0">
      <selection activeCell="G9" sqref="G9"/>
    </sheetView>
  </sheetViews>
  <sheetFormatPr defaultRowHeight="15" x14ac:dyDescent="0.25"/>
  <cols>
    <col min="1" max="1" width="9.85546875" customWidth="1"/>
    <col min="5" max="5" width="14" bestFit="1" customWidth="1"/>
    <col min="6" max="9" width="14" customWidth="1"/>
    <col min="11" max="11" width="12.42578125" hidden="1" customWidth="1"/>
    <col min="13" max="13" width="16.5703125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777</v>
      </c>
      <c r="E1" t="s">
        <v>778</v>
      </c>
      <c r="F1" t="s">
        <v>0</v>
      </c>
      <c r="G1" t="s">
        <v>1</v>
      </c>
      <c r="H1" t="s">
        <v>770</v>
      </c>
      <c r="I1" t="s">
        <v>2</v>
      </c>
      <c r="J1" t="s">
        <v>3</v>
      </c>
      <c r="K1" t="s">
        <v>781</v>
      </c>
      <c r="L1" t="s">
        <v>4</v>
      </c>
      <c r="M1" t="s">
        <v>5</v>
      </c>
    </row>
    <row r="2" spans="1:13" x14ac:dyDescent="0.25">
      <c r="A2" t="s">
        <v>9</v>
      </c>
      <c r="B2" t="s">
        <v>749</v>
      </c>
      <c r="C2" t="s">
        <v>750</v>
      </c>
      <c r="D2">
        <v>1</v>
      </c>
      <c r="E2" t="s">
        <v>751</v>
      </c>
      <c r="F2" t="s">
        <v>779</v>
      </c>
      <c r="G2" t="str">
        <f>B2</f>
        <v>A</v>
      </c>
      <c r="H2">
        <f>_xlfn.XLOOKUP(Table2[[#This Row],[Zone]],Table1[Row],Table1[Max Bay],_xleta.NA,0)</f>
        <v>12</v>
      </c>
      <c r="I2" s="1" t="str">
        <f t="shared" ref="I2:I65" si="0">TEXT(H2-INT(C2)+1,"00")</f>
        <v>12</v>
      </c>
      <c r="J2">
        <f t="shared" ref="J2:J65" si="1">D2</f>
        <v>1</v>
      </c>
      <c r="K2" t="str">
        <f>_xlfn.XLOOKUP(Table2[[#This Row],[Row]],Table1[Row],Table1[StartSide],0)</f>
        <v>R</v>
      </c>
      <c r="L2" t="str">
        <f t="shared" ref="L2:L65" si="2">E2</f>
        <v>L</v>
      </c>
      <c r="M2" t="str">
        <f t="shared" ref="M2:M65" si="3">_xlfn.CONCAT(F2,"_",G2,I2,"_",J2,"_",L2)</f>
        <v>PS1_A12_1_L</v>
      </c>
    </row>
    <row r="3" spans="1:13" x14ac:dyDescent="0.25">
      <c r="A3" t="s">
        <v>10</v>
      </c>
      <c r="B3" t="s">
        <v>749</v>
      </c>
      <c r="C3" t="s">
        <v>750</v>
      </c>
      <c r="D3">
        <v>2</v>
      </c>
      <c r="E3" t="s">
        <v>751</v>
      </c>
      <c r="F3" t="s">
        <v>779</v>
      </c>
      <c r="G3" t="str">
        <f t="shared" ref="G3:G66" si="4">B3</f>
        <v>A</v>
      </c>
      <c r="H3">
        <f>_xlfn.XLOOKUP(Table2[[#This Row],[Zone]],Table1[Row],Table1[Max Bay],_xleta.NA,0)</f>
        <v>12</v>
      </c>
      <c r="I3" s="1" t="str">
        <f t="shared" si="0"/>
        <v>12</v>
      </c>
      <c r="J3">
        <f t="shared" si="1"/>
        <v>2</v>
      </c>
      <c r="K3" t="str">
        <f>_xlfn.XLOOKUP(Table2[[#This Row],[Row]],Table1[Row],Table1[StartSide],0)</f>
        <v>R</v>
      </c>
      <c r="L3" t="str">
        <f t="shared" si="2"/>
        <v>L</v>
      </c>
      <c r="M3" t="str">
        <f t="shared" si="3"/>
        <v>PS1_A12_2_L</v>
      </c>
    </row>
    <row r="4" spans="1:13" x14ac:dyDescent="0.25">
      <c r="A4" t="s">
        <v>11</v>
      </c>
      <c r="B4" t="s">
        <v>749</v>
      </c>
      <c r="C4" t="s">
        <v>750</v>
      </c>
      <c r="D4">
        <v>2</v>
      </c>
      <c r="E4" t="s">
        <v>752</v>
      </c>
      <c r="F4" t="s">
        <v>779</v>
      </c>
      <c r="G4" t="str">
        <f t="shared" si="4"/>
        <v>A</v>
      </c>
      <c r="H4">
        <f>_xlfn.XLOOKUP(Table2[[#This Row],[Zone]],Table1[Row],Table1[Max Bay],_xleta.NA,0)</f>
        <v>12</v>
      </c>
      <c r="I4" s="1" t="str">
        <f t="shared" si="0"/>
        <v>12</v>
      </c>
      <c r="J4">
        <f t="shared" si="1"/>
        <v>2</v>
      </c>
      <c r="K4" t="str">
        <f>_xlfn.XLOOKUP(Table2[[#This Row],[Row]],Table1[Row],Table1[StartSide],0)</f>
        <v>R</v>
      </c>
      <c r="L4" t="str">
        <f t="shared" si="2"/>
        <v>R</v>
      </c>
      <c r="M4" t="str">
        <f t="shared" si="3"/>
        <v>PS1_A12_2_R</v>
      </c>
    </row>
    <row r="5" spans="1:13" x14ac:dyDescent="0.25">
      <c r="A5" t="s">
        <v>12</v>
      </c>
      <c r="B5" t="s">
        <v>749</v>
      </c>
      <c r="C5" t="s">
        <v>750</v>
      </c>
      <c r="D5">
        <v>3</v>
      </c>
      <c r="E5" t="s">
        <v>751</v>
      </c>
      <c r="F5" t="s">
        <v>779</v>
      </c>
      <c r="G5" t="str">
        <f t="shared" si="4"/>
        <v>A</v>
      </c>
      <c r="H5">
        <f>_xlfn.XLOOKUP(Table2[[#This Row],[Zone]],Table1[Row],Table1[Max Bay],_xleta.NA,0)</f>
        <v>12</v>
      </c>
      <c r="I5" s="1" t="str">
        <f t="shared" si="0"/>
        <v>12</v>
      </c>
      <c r="J5">
        <f t="shared" si="1"/>
        <v>3</v>
      </c>
      <c r="K5" t="str">
        <f>_xlfn.XLOOKUP(Table2[[#This Row],[Row]],Table1[Row],Table1[StartSide],0)</f>
        <v>R</v>
      </c>
      <c r="L5" t="str">
        <f t="shared" si="2"/>
        <v>L</v>
      </c>
      <c r="M5" t="str">
        <f t="shared" si="3"/>
        <v>PS1_A12_3_L</v>
      </c>
    </row>
    <row r="6" spans="1:13" x14ac:dyDescent="0.25">
      <c r="A6" t="s">
        <v>13</v>
      </c>
      <c r="B6" t="s">
        <v>749</v>
      </c>
      <c r="C6" t="s">
        <v>750</v>
      </c>
      <c r="D6">
        <v>3</v>
      </c>
      <c r="E6" t="s">
        <v>752</v>
      </c>
      <c r="F6" t="s">
        <v>779</v>
      </c>
      <c r="G6" t="str">
        <f t="shared" si="4"/>
        <v>A</v>
      </c>
      <c r="H6">
        <f>_xlfn.XLOOKUP(Table2[[#This Row],[Zone]],Table1[Row],Table1[Max Bay],_xleta.NA,0)</f>
        <v>12</v>
      </c>
      <c r="I6" s="1" t="str">
        <f t="shared" si="0"/>
        <v>12</v>
      </c>
      <c r="J6">
        <f t="shared" si="1"/>
        <v>3</v>
      </c>
      <c r="K6" t="str">
        <f>_xlfn.XLOOKUP(Table2[[#This Row],[Row]],Table1[Row],Table1[StartSide],0)</f>
        <v>R</v>
      </c>
      <c r="L6" t="str">
        <f t="shared" si="2"/>
        <v>R</v>
      </c>
      <c r="M6" t="str">
        <f t="shared" si="3"/>
        <v>PS1_A12_3_R</v>
      </c>
    </row>
    <row r="7" spans="1:13" x14ac:dyDescent="0.25">
      <c r="A7" t="s">
        <v>14</v>
      </c>
      <c r="B7" t="s">
        <v>749</v>
      </c>
      <c r="C7" t="s">
        <v>750</v>
      </c>
      <c r="D7">
        <v>4</v>
      </c>
      <c r="E7" t="s">
        <v>751</v>
      </c>
      <c r="F7" t="s">
        <v>779</v>
      </c>
      <c r="G7" t="str">
        <f t="shared" si="4"/>
        <v>A</v>
      </c>
      <c r="H7">
        <f>_xlfn.XLOOKUP(Table2[[#This Row],[Zone]],Table1[Row],Table1[Max Bay],_xleta.NA,0)</f>
        <v>12</v>
      </c>
      <c r="I7" s="1" t="str">
        <f t="shared" si="0"/>
        <v>12</v>
      </c>
      <c r="J7">
        <f t="shared" si="1"/>
        <v>4</v>
      </c>
      <c r="K7" t="str">
        <f>_xlfn.XLOOKUP(Table2[[#This Row],[Row]],Table1[Row],Table1[StartSide],0)</f>
        <v>R</v>
      </c>
      <c r="L7" t="str">
        <f t="shared" si="2"/>
        <v>L</v>
      </c>
      <c r="M7" t="str">
        <f t="shared" si="3"/>
        <v>PS1_A12_4_L</v>
      </c>
    </row>
    <row r="8" spans="1:13" x14ac:dyDescent="0.25">
      <c r="A8" t="s">
        <v>15</v>
      </c>
      <c r="B8" t="s">
        <v>749</v>
      </c>
      <c r="C8" t="s">
        <v>750</v>
      </c>
      <c r="D8">
        <v>4</v>
      </c>
      <c r="E8" t="s">
        <v>752</v>
      </c>
      <c r="F8" t="s">
        <v>779</v>
      </c>
      <c r="G8" t="str">
        <f t="shared" si="4"/>
        <v>A</v>
      </c>
      <c r="H8">
        <f>_xlfn.XLOOKUP(Table2[[#This Row],[Zone]],Table1[Row],Table1[Max Bay],_xleta.NA,0)</f>
        <v>12</v>
      </c>
      <c r="I8" s="1" t="str">
        <f t="shared" si="0"/>
        <v>12</v>
      </c>
      <c r="J8">
        <f t="shared" si="1"/>
        <v>4</v>
      </c>
      <c r="K8" t="str">
        <f>_xlfn.XLOOKUP(Table2[[#This Row],[Row]],Table1[Row],Table1[StartSide],0)</f>
        <v>R</v>
      </c>
      <c r="L8" t="str">
        <f t="shared" si="2"/>
        <v>R</v>
      </c>
      <c r="M8" t="str">
        <f t="shared" si="3"/>
        <v>PS1_A12_4_R</v>
      </c>
    </row>
    <row r="9" spans="1:13" x14ac:dyDescent="0.25">
      <c r="A9" t="s">
        <v>16</v>
      </c>
      <c r="B9" t="s">
        <v>749</v>
      </c>
      <c r="C9" t="s">
        <v>750</v>
      </c>
      <c r="D9">
        <v>5</v>
      </c>
      <c r="E9" t="s">
        <v>751</v>
      </c>
      <c r="F9" t="s">
        <v>779</v>
      </c>
      <c r="G9" t="str">
        <f t="shared" si="4"/>
        <v>A</v>
      </c>
      <c r="H9">
        <f>_xlfn.XLOOKUP(Table2[[#This Row],[Zone]],Table1[Row],Table1[Max Bay],_xleta.NA,0)</f>
        <v>12</v>
      </c>
      <c r="I9" s="1" t="str">
        <f t="shared" si="0"/>
        <v>12</v>
      </c>
      <c r="J9">
        <f t="shared" si="1"/>
        <v>5</v>
      </c>
      <c r="K9" t="str">
        <f>_xlfn.XLOOKUP(Table2[[#This Row],[Row]],Table1[Row],Table1[StartSide],0)</f>
        <v>R</v>
      </c>
      <c r="L9" t="str">
        <f t="shared" si="2"/>
        <v>L</v>
      </c>
      <c r="M9" t="str">
        <f t="shared" si="3"/>
        <v>PS1_A12_5_L</v>
      </c>
    </row>
    <row r="10" spans="1:13" x14ac:dyDescent="0.25">
      <c r="A10" t="s">
        <v>17</v>
      </c>
      <c r="B10" t="s">
        <v>749</v>
      </c>
      <c r="C10" t="s">
        <v>750</v>
      </c>
      <c r="D10">
        <v>5</v>
      </c>
      <c r="E10" t="s">
        <v>752</v>
      </c>
      <c r="F10" t="s">
        <v>779</v>
      </c>
      <c r="G10" t="str">
        <f t="shared" si="4"/>
        <v>A</v>
      </c>
      <c r="H10">
        <f>_xlfn.XLOOKUP(Table2[[#This Row],[Zone]],Table1[Row],Table1[Max Bay],_xleta.NA,0)</f>
        <v>12</v>
      </c>
      <c r="I10" s="1" t="str">
        <f t="shared" si="0"/>
        <v>12</v>
      </c>
      <c r="J10">
        <f t="shared" si="1"/>
        <v>5</v>
      </c>
      <c r="K10" t="str">
        <f>_xlfn.XLOOKUP(Table2[[#This Row],[Row]],Table1[Row],Table1[StartSide],0)</f>
        <v>R</v>
      </c>
      <c r="L10" t="str">
        <f t="shared" si="2"/>
        <v>R</v>
      </c>
      <c r="M10" t="str">
        <f t="shared" si="3"/>
        <v>PS1_A12_5_R</v>
      </c>
    </row>
    <row r="11" spans="1:13" x14ac:dyDescent="0.25">
      <c r="A11" t="s">
        <v>18</v>
      </c>
      <c r="B11" t="s">
        <v>749</v>
      </c>
      <c r="C11" t="s">
        <v>750</v>
      </c>
      <c r="D11">
        <v>6</v>
      </c>
      <c r="E11" t="s">
        <v>751</v>
      </c>
      <c r="F11" t="s">
        <v>779</v>
      </c>
      <c r="G11" t="str">
        <f t="shared" si="4"/>
        <v>A</v>
      </c>
      <c r="H11">
        <f>_xlfn.XLOOKUP(Table2[[#This Row],[Zone]],Table1[Row],Table1[Max Bay],_xleta.NA,0)</f>
        <v>12</v>
      </c>
      <c r="I11" s="1" t="str">
        <f t="shared" si="0"/>
        <v>12</v>
      </c>
      <c r="J11">
        <f t="shared" si="1"/>
        <v>6</v>
      </c>
      <c r="K11" t="str">
        <f>_xlfn.XLOOKUP(Table2[[#This Row],[Row]],Table1[Row],Table1[StartSide],0)</f>
        <v>R</v>
      </c>
      <c r="L11" t="str">
        <f t="shared" si="2"/>
        <v>L</v>
      </c>
      <c r="M11" t="str">
        <f t="shared" si="3"/>
        <v>PS1_A12_6_L</v>
      </c>
    </row>
    <row r="12" spans="1:13" x14ac:dyDescent="0.25">
      <c r="A12" t="s">
        <v>19</v>
      </c>
      <c r="B12" t="s">
        <v>749</v>
      </c>
      <c r="C12" t="s">
        <v>750</v>
      </c>
      <c r="D12">
        <v>6</v>
      </c>
      <c r="E12" t="s">
        <v>752</v>
      </c>
      <c r="F12" t="s">
        <v>779</v>
      </c>
      <c r="G12" t="str">
        <f t="shared" si="4"/>
        <v>A</v>
      </c>
      <c r="H12">
        <f>_xlfn.XLOOKUP(Table2[[#This Row],[Zone]],Table1[Row],Table1[Max Bay],_xleta.NA,0)</f>
        <v>12</v>
      </c>
      <c r="I12" s="1" t="str">
        <f t="shared" si="0"/>
        <v>12</v>
      </c>
      <c r="J12">
        <f t="shared" si="1"/>
        <v>6</v>
      </c>
      <c r="K12" t="str">
        <f>_xlfn.XLOOKUP(Table2[[#This Row],[Row]],Table1[Row],Table1[StartSide],0)</f>
        <v>R</v>
      </c>
      <c r="L12" t="str">
        <f t="shared" si="2"/>
        <v>R</v>
      </c>
      <c r="M12" t="str">
        <f t="shared" si="3"/>
        <v>PS1_A12_6_R</v>
      </c>
    </row>
    <row r="13" spans="1:13" x14ac:dyDescent="0.25">
      <c r="A13" t="s">
        <v>20</v>
      </c>
      <c r="B13" t="s">
        <v>749</v>
      </c>
      <c r="C13" t="s">
        <v>753</v>
      </c>
      <c r="D13">
        <v>1</v>
      </c>
      <c r="E13" t="s">
        <v>751</v>
      </c>
      <c r="F13" t="s">
        <v>779</v>
      </c>
      <c r="G13" t="str">
        <f t="shared" si="4"/>
        <v>A</v>
      </c>
      <c r="H13">
        <f>_xlfn.XLOOKUP(Table2[[#This Row],[Zone]],Table1[Row],Table1[Max Bay],_xleta.NA,0)</f>
        <v>12</v>
      </c>
      <c r="I13" s="1" t="str">
        <f t="shared" si="0"/>
        <v>11</v>
      </c>
      <c r="J13">
        <f t="shared" si="1"/>
        <v>1</v>
      </c>
      <c r="K13" t="str">
        <f>_xlfn.XLOOKUP(Table2[[#This Row],[Row]],Table1[Row],Table1[StartSide],0)</f>
        <v>R</v>
      </c>
      <c r="L13" t="str">
        <f t="shared" si="2"/>
        <v>L</v>
      </c>
      <c r="M13" t="str">
        <f t="shared" si="3"/>
        <v>PS1_A11_1_L</v>
      </c>
    </row>
    <row r="14" spans="1:13" x14ac:dyDescent="0.25">
      <c r="A14" t="s">
        <v>21</v>
      </c>
      <c r="B14" t="s">
        <v>749</v>
      </c>
      <c r="C14" t="s">
        <v>753</v>
      </c>
      <c r="D14">
        <v>1</v>
      </c>
      <c r="E14" t="s">
        <v>752</v>
      </c>
      <c r="F14" t="s">
        <v>779</v>
      </c>
      <c r="G14" t="str">
        <f t="shared" si="4"/>
        <v>A</v>
      </c>
      <c r="H14">
        <f>_xlfn.XLOOKUP(Table2[[#This Row],[Zone]],Table1[Row],Table1[Max Bay],_xleta.NA,0)</f>
        <v>12</v>
      </c>
      <c r="I14" s="1" t="str">
        <f t="shared" si="0"/>
        <v>11</v>
      </c>
      <c r="J14">
        <f t="shared" si="1"/>
        <v>1</v>
      </c>
      <c r="K14" t="str">
        <f>_xlfn.XLOOKUP(Table2[[#This Row],[Row]],Table1[Row],Table1[StartSide],0)</f>
        <v>R</v>
      </c>
      <c r="L14" t="str">
        <f t="shared" si="2"/>
        <v>R</v>
      </c>
      <c r="M14" t="str">
        <f t="shared" si="3"/>
        <v>PS1_A11_1_R</v>
      </c>
    </row>
    <row r="15" spans="1:13" x14ac:dyDescent="0.25">
      <c r="A15" t="s">
        <v>22</v>
      </c>
      <c r="B15" t="s">
        <v>749</v>
      </c>
      <c r="C15" t="s">
        <v>753</v>
      </c>
      <c r="D15">
        <v>2</v>
      </c>
      <c r="E15" t="s">
        <v>751</v>
      </c>
      <c r="F15" t="s">
        <v>779</v>
      </c>
      <c r="G15" t="str">
        <f t="shared" si="4"/>
        <v>A</v>
      </c>
      <c r="H15">
        <f>_xlfn.XLOOKUP(Table2[[#This Row],[Zone]],Table1[Row],Table1[Max Bay],_xleta.NA,0)</f>
        <v>12</v>
      </c>
      <c r="I15" s="1" t="str">
        <f t="shared" si="0"/>
        <v>11</v>
      </c>
      <c r="J15">
        <f t="shared" si="1"/>
        <v>2</v>
      </c>
      <c r="K15" t="str">
        <f>_xlfn.XLOOKUP(Table2[[#This Row],[Row]],Table1[Row],Table1[StartSide],0)</f>
        <v>R</v>
      </c>
      <c r="L15" t="str">
        <f t="shared" si="2"/>
        <v>L</v>
      </c>
      <c r="M15" t="str">
        <f t="shared" si="3"/>
        <v>PS1_A11_2_L</v>
      </c>
    </row>
    <row r="16" spans="1:13" x14ac:dyDescent="0.25">
      <c r="A16" t="s">
        <v>23</v>
      </c>
      <c r="B16" t="s">
        <v>749</v>
      </c>
      <c r="C16" t="s">
        <v>753</v>
      </c>
      <c r="D16">
        <v>2</v>
      </c>
      <c r="E16" t="s">
        <v>752</v>
      </c>
      <c r="F16" t="s">
        <v>779</v>
      </c>
      <c r="G16" t="str">
        <f t="shared" si="4"/>
        <v>A</v>
      </c>
      <c r="H16">
        <f>_xlfn.XLOOKUP(Table2[[#This Row],[Zone]],Table1[Row],Table1[Max Bay],_xleta.NA,0)</f>
        <v>12</v>
      </c>
      <c r="I16" s="1" t="str">
        <f t="shared" si="0"/>
        <v>11</v>
      </c>
      <c r="J16">
        <f t="shared" si="1"/>
        <v>2</v>
      </c>
      <c r="K16" t="str">
        <f>_xlfn.XLOOKUP(Table2[[#This Row],[Row]],Table1[Row],Table1[StartSide],0)</f>
        <v>R</v>
      </c>
      <c r="L16" t="str">
        <f t="shared" si="2"/>
        <v>R</v>
      </c>
      <c r="M16" t="str">
        <f t="shared" si="3"/>
        <v>PS1_A11_2_R</v>
      </c>
    </row>
    <row r="17" spans="1:13" x14ac:dyDescent="0.25">
      <c r="A17" t="s">
        <v>24</v>
      </c>
      <c r="B17" t="s">
        <v>749</v>
      </c>
      <c r="C17" t="s">
        <v>753</v>
      </c>
      <c r="D17">
        <v>3</v>
      </c>
      <c r="E17" t="s">
        <v>751</v>
      </c>
      <c r="F17" t="s">
        <v>779</v>
      </c>
      <c r="G17" t="str">
        <f t="shared" si="4"/>
        <v>A</v>
      </c>
      <c r="H17">
        <f>_xlfn.XLOOKUP(Table2[[#This Row],[Zone]],Table1[Row],Table1[Max Bay],_xleta.NA,0)</f>
        <v>12</v>
      </c>
      <c r="I17" s="1" t="str">
        <f t="shared" si="0"/>
        <v>11</v>
      </c>
      <c r="J17">
        <f t="shared" si="1"/>
        <v>3</v>
      </c>
      <c r="K17" t="str">
        <f>_xlfn.XLOOKUP(Table2[[#This Row],[Row]],Table1[Row],Table1[StartSide],0)</f>
        <v>R</v>
      </c>
      <c r="L17" t="str">
        <f t="shared" si="2"/>
        <v>L</v>
      </c>
      <c r="M17" t="str">
        <f t="shared" si="3"/>
        <v>PS1_A11_3_L</v>
      </c>
    </row>
    <row r="18" spans="1:13" x14ac:dyDescent="0.25">
      <c r="A18" t="s">
        <v>25</v>
      </c>
      <c r="B18" t="s">
        <v>749</v>
      </c>
      <c r="C18" t="s">
        <v>753</v>
      </c>
      <c r="D18">
        <v>3</v>
      </c>
      <c r="E18" t="s">
        <v>752</v>
      </c>
      <c r="F18" t="s">
        <v>779</v>
      </c>
      <c r="G18" t="str">
        <f t="shared" si="4"/>
        <v>A</v>
      </c>
      <c r="H18">
        <f>_xlfn.XLOOKUP(Table2[[#This Row],[Zone]],Table1[Row],Table1[Max Bay],_xleta.NA,0)</f>
        <v>12</v>
      </c>
      <c r="I18" s="1" t="str">
        <f t="shared" si="0"/>
        <v>11</v>
      </c>
      <c r="J18">
        <f t="shared" si="1"/>
        <v>3</v>
      </c>
      <c r="K18" t="str">
        <f>_xlfn.XLOOKUP(Table2[[#This Row],[Row]],Table1[Row],Table1[StartSide],0)</f>
        <v>R</v>
      </c>
      <c r="L18" t="str">
        <f t="shared" si="2"/>
        <v>R</v>
      </c>
      <c r="M18" t="str">
        <f t="shared" si="3"/>
        <v>PS1_A11_3_R</v>
      </c>
    </row>
    <row r="19" spans="1:13" x14ac:dyDescent="0.25">
      <c r="A19" t="s">
        <v>26</v>
      </c>
      <c r="B19" t="s">
        <v>749</v>
      </c>
      <c r="C19" t="s">
        <v>753</v>
      </c>
      <c r="D19">
        <v>4</v>
      </c>
      <c r="E19" t="s">
        <v>751</v>
      </c>
      <c r="F19" t="s">
        <v>779</v>
      </c>
      <c r="G19" t="str">
        <f t="shared" si="4"/>
        <v>A</v>
      </c>
      <c r="H19">
        <f>_xlfn.XLOOKUP(Table2[[#This Row],[Zone]],Table1[Row],Table1[Max Bay],_xleta.NA,0)</f>
        <v>12</v>
      </c>
      <c r="I19" s="1" t="str">
        <f t="shared" si="0"/>
        <v>11</v>
      </c>
      <c r="J19">
        <f t="shared" si="1"/>
        <v>4</v>
      </c>
      <c r="K19" t="str">
        <f>_xlfn.XLOOKUP(Table2[[#This Row],[Row]],Table1[Row],Table1[StartSide],0)</f>
        <v>R</v>
      </c>
      <c r="L19" t="str">
        <f t="shared" si="2"/>
        <v>L</v>
      </c>
      <c r="M19" t="str">
        <f t="shared" si="3"/>
        <v>PS1_A11_4_L</v>
      </c>
    </row>
    <row r="20" spans="1:13" x14ac:dyDescent="0.25">
      <c r="A20" t="s">
        <v>27</v>
      </c>
      <c r="B20" t="s">
        <v>749</v>
      </c>
      <c r="C20" t="s">
        <v>753</v>
      </c>
      <c r="D20">
        <v>4</v>
      </c>
      <c r="E20" t="s">
        <v>752</v>
      </c>
      <c r="F20" t="s">
        <v>779</v>
      </c>
      <c r="G20" t="str">
        <f t="shared" si="4"/>
        <v>A</v>
      </c>
      <c r="H20">
        <f>_xlfn.XLOOKUP(Table2[[#This Row],[Zone]],Table1[Row],Table1[Max Bay],_xleta.NA,0)</f>
        <v>12</v>
      </c>
      <c r="I20" s="1" t="str">
        <f t="shared" si="0"/>
        <v>11</v>
      </c>
      <c r="J20">
        <f t="shared" si="1"/>
        <v>4</v>
      </c>
      <c r="K20" t="str">
        <f>_xlfn.XLOOKUP(Table2[[#This Row],[Row]],Table1[Row],Table1[StartSide],0)</f>
        <v>R</v>
      </c>
      <c r="L20" t="str">
        <f t="shared" si="2"/>
        <v>R</v>
      </c>
      <c r="M20" t="str">
        <f t="shared" si="3"/>
        <v>PS1_A11_4_R</v>
      </c>
    </row>
    <row r="21" spans="1:13" x14ac:dyDescent="0.25">
      <c r="A21" t="s">
        <v>28</v>
      </c>
      <c r="B21" t="s">
        <v>749</v>
      </c>
      <c r="C21" t="s">
        <v>753</v>
      </c>
      <c r="D21">
        <v>5</v>
      </c>
      <c r="E21" t="s">
        <v>751</v>
      </c>
      <c r="F21" t="s">
        <v>779</v>
      </c>
      <c r="G21" t="str">
        <f t="shared" si="4"/>
        <v>A</v>
      </c>
      <c r="H21">
        <f>_xlfn.XLOOKUP(Table2[[#This Row],[Zone]],Table1[Row],Table1[Max Bay],_xleta.NA,0)</f>
        <v>12</v>
      </c>
      <c r="I21" s="1" t="str">
        <f t="shared" si="0"/>
        <v>11</v>
      </c>
      <c r="J21">
        <f t="shared" si="1"/>
        <v>5</v>
      </c>
      <c r="K21" t="str">
        <f>_xlfn.XLOOKUP(Table2[[#This Row],[Row]],Table1[Row],Table1[StartSide],0)</f>
        <v>R</v>
      </c>
      <c r="L21" t="str">
        <f t="shared" si="2"/>
        <v>L</v>
      </c>
      <c r="M21" t="str">
        <f t="shared" si="3"/>
        <v>PS1_A11_5_L</v>
      </c>
    </row>
    <row r="22" spans="1:13" x14ac:dyDescent="0.25">
      <c r="A22" t="s">
        <v>29</v>
      </c>
      <c r="B22" t="s">
        <v>749</v>
      </c>
      <c r="C22" t="s">
        <v>753</v>
      </c>
      <c r="D22">
        <v>5</v>
      </c>
      <c r="E22" t="s">
        <v>752</v>
      </c>
      <c r="F22" t="s">
        <v>779</v>
      </c>
      <c r="G22" t="str">
        <f t="shared" si="4"/>
        <v>A</v>
      </c>
      <c r="H22">
        <f>_xlfn.XLOOKUP(Table2[[#This Row],[Zone]],Table1[Row],Table1[Max Bay],_xleta.NA,0)</f>
        <v>12</v>
      </c>
      <c r="I22" s="1" t="str">
        <f t="shared" si="0"/>
        <v>11</v>
      </c>
      <c r="J22">
        <f t="shared" si="1"/>
        <v>5</v>
      </c>
      <c r="K22" t="str">
        <f>_xlfn.XLOOKUP(Table2[[#This Row],[Row]],Table1[Row],Table1[StartSide],0)</f>
        <v>R</v>
      </c>
      <c r="L22" t="str">
        <f t="shared" si="2"/>
        <v>R</v>
      </c>
      <c r="M22" t="str">
        <f t="shared" si="3"/>
        <v>PS1_A11_5_R</v>
      </c>
    </row>
    <row r="23" spans="1:13" x14ac:dyDescent="0.25">
      <c r="A23" t="s">
        <v>30</v>
      </c>
      <c r="B23" t="s">
        <v>749</v>
      </c>
      <c r="C23" t="s">
        <v>753</v>
      </c>
      <c r="D23">
        <v>6</v>
      </c>
      <c r="E23" t="s">
        <v>751</v>
      </c>
      <c r="F23" t="s">
        <v>779</v>
      </c>
      <c r="G23" t="str">
        <f t="shared" si="4"/>
        <v>A</v>
      </c>
      <c r="H23">
        <f>_xlfn.XLOOKUP(Table2[[#This Row],[Zone]],Table1[Row],Table1[Max Bay],_xleta.NA,0)</f>
        <v>12</v>
      </c>
      <c r="I23" s="1" t="str">
        <f t="shared" si="0"/>
        <v>11</v>
      </c>
      <c r="J23">
        <f t="shared" si="1"/>
        <v>6</v>
      </c>
      <c r="K23" t="str">
        <f>_xlfn.XLOOKUP(Table2[[#This Row],[Row]],Table1[Row],Table1[StartSide],0)</f>
        <v>R</v>
      </c>
      <c r="L23" t="str">
        <f t="shared" si="2"/>
        <v>L</v>
      </c>
      <c r="M23" t="str">
        <f t="shared" si="3"/>
        <v>PS1_A11_6_L</v>
      </c>
    </row>
    <row r="24" spans="1:13" x14ac:dyDescent="0.25">
      <c r="A24" t="s">
        <v>31</v>
      </c>
      <c r="B24" t="s">
        <v>749</v>
      </c>
      <c r="C24" t="s">
        <v>753</v>
      </c>
      <c r="D24">
        <v>6</v>
      </c>
      <c r="E24" t="s">
        <v>752</v>
      </c>
      <c r="F24" t="s">
        <v>779</v>
      </c>
      <c r="G24" t="str">
        <f t="shared" si="4"/>
        <v>A</v>
      </c>
      <c r="H24">
        <f>_xlfn.XLOOKUP(Table2[[#This Row],[Zone]],Table1[Row],Table1[Max Bay],_xleta.NA,0)</f>
        <v>12</v>
      </c>
      <c r="I24" s="1" t="str">
        <f t="shared" si="0"/>
        <v>11</v>
      </c>
      <c r="J24">
        <f t="shared" si="1"/>
        <v>6</v>
      </c>
      <c r="K24" t="str">
        <f>_xlfn.XLOOKUP(Table2[[#This Row],[Row]],Table1[Row],Table1[StartSide],0)</f>
        <v>R</v>
      </c>
      <c r="L24" t="str">
        <f t="shared" si="2"/>
        <v>R</v>
      </c>
      <c r="M24" t="str">
        <f t="shared" si="3"/>
        <v>PS1_A11_6_R</v>
      </c>
    </row>
    <row r="25" spans="1:13" x14ac:dyDescent="0.25">
      <c r="A25" t="s">
        <v>32</v>
      </c>
      <c r="B25" t="s">
        <v>749</v>
      </c>
      <c r="C25" t="s">
        <v>754</v>
      </c>
      <c r="D25">
        <v>1</v>
      </c>
      <c r="E25" t="s">
        <v>751</v>
      </c>
      <c r="F25" t="s">
        <v>779</v>
      </c>
      <c r="G25" t="str">
        <f t="shared" si="4"/>
        <v>A</v>
      </c>
      <c r="H25">
        <f>_xlfn.XLOOKUP(Table2[[#This Row],[Zone]],Table1[Row],Table1[Max Bay],_xleta.NA,0)</f>
        <v>12</v>
      </c>
      <c r="I25" s="1" t="str">
        <f t="shared" si="0"/>
        <v>10</v>
      </c>
      <c r="J25">
        <f t="shared" si="1"/>
        <v>1</v>
      </c>
      <c r="K25" t="str">
        <f>_xlfn.XLOOKUP(Table2[[#This Row],[Row]],Table1[Row],Table1[StartSide],0)</f>
        <v>R</v>
      </c>
      <c r="L25" t="str">
        <f t="shared" si="2"/>
        <v>L</v>
      </c>
      <c r="M25" t="str">
        <f t="shared" si="3"/>
        <v>PS1_A10_1_L</v>
      </c>
    </row>
    <row r="26" spans="1:13" x14ac:dyDescent="0.25">
      <c r="A26" t="s">
        <v>33</v>
      </c>
      <c r="B26" t="s">
        <v>749</v>
      </c>
      <c r="C26" t="s">
        <v>754</v>
      </c>
      <c r="D26">
        <v>1</v>
      </c>
      <c r="E26" t="s">
        <v>752</v>
      </c>
      <c r="F26" t="s">
        <v>779</v>
      </c>
      <c r="G26" t="str">
        <f t="shared" si="4"/>
        <v>A</v>
      </c>
      <c r="H26">
        <f>_xlfn.XLOOKUP(Table2[[#This Row],[Zone]],Table1[Row],Table1[Max Bay],_xleta.NA,0)</f>
        <v>12</v>
      </c>
      <c r="I26" s="1" t="str">
        <f t="shared" si="0"/>
        <v>10</v>
      </c>
      <c r="J26">
        <f t="shared" si="1"/>
        <v>1</v>
      </c>
      <c r="K26" t="str">
        <f>_xlfn.XLOOKUP(Table2[[#This Row],[Row]],Table1[Row],Table1[StartSide],0)</f>
        <v>R</v>
      </c>
      <c r="L26" t="str">
        <f t="shared" si="2"/>
        <v>R</v>
      </c>
      <c r="M26" t="str">
        <f t="shared" si="3"/>
        <v>PS1_A10_1_R</v>
      </c>
    </row>
    <row r="27" spans="1:13" x14ac:dyDescent="0.25">
      <c r="A27" t="s">
        <v>34</v>
      </c>
      <c r="B27" t="s">
        <v>749</v>
      </c>
      <c r="C27" t="s">
        <v>754</v>
      </c>
      <c r="D27">
        <v>2</v>
      </c>
      <c r="E27" t="s">
        <v>751</v>
      </c>
      <c r="F27" t="s">
        <v>779</v>
      </c>
      <c r="G27" t="str">
        <f t="shared" si="4"/>
        <v>A</v>
      </c>
      <c r="H27">
        <f>_xlfn.XLOOKUP(Table2[[#This Row],[Zone]],Table1[Row],Table1[Max Bay],_xleta.NA,0)</f>
        <v>12</v>
      </c>
      <c r="I27" s="1" t="str">
        <f t="shared" si="0"/>
        <v>10</v>
      </c>
      <c r="J27">
        <f t="shared" si="1"/>
        <v>2</v>
      </c>
      <c r="K27" t="str">
        <f>_xlfn.XLOOKUP(Table2[[#This Row],[Row]],Table1[Row],Table1[StartSide],0)</f>
        <v>R</v>
      </c>
      <c r="L27" t="str">
        <f t="shared" si="2"/>
        <v>L</v>
      </c>
      <c r="M27" t="str">
        <f t="shared" si="3"/>
        <v>PS1_A10_2_L</v>
      </c>
    </row>
    <row r="28" spans="1:13" x14ac:dyDescent="0.25">
      <c r="A28" t="s">
        <v>35</v>
      </c>
      <c r="B28" t="s">
        <v>749</v>
      </c>
      <c r="C28" t="s">
        <v>754</v>
      </c>
      <c r="D28">
        <v>2</v>
      </c>
      <c r="E28" t="s">
        <v>752</v>
      </c>
      <c r="F28" t="s">
        <v>779</v>
      </c>
      <c r="G28" t="str">
        <f t="shared" si="4"/>
        <v>A</v>
      </c>
      <c r="H28">
        <f>_xlfn.XLOOKUP(Table2[[#This Row],[Zone]],Table1[Row],Table1[Max Bay],_xleta.NA,0)</f>
        <v>12</v>
      </c>
      <c r="I28" s="1" t="str">
        <f t="shared" si="0"/>
        <v>10</v>
      </c>
      <c r="J28">
        <f t="shared" si="1"/>
        <v>2</v>
      </c>
      <c r="K28" t="str">
        <f>_xlfn.XLOOKUP(Table2[[#This Row],[Row]],Table1[Row],Table1[StartSide],0)</f>
        <v>R</v>
      </c>
      <c r="L28" t="str">
        <f t="shared" si="2"/>
        <v>R</v>
      </c>
      <c r="M28" t="str">
        <f t="shared" si="3"/>
        <v>PS1_A10_2_R</v>
      </c>
    </row>
    <row r="29" spans="1:13" x14ac:dyDescent="0.25">
      <c r="A29" t="s">
        <v>36</v>
      </c>
      <c r="B29" t="s">
        <v>749</v>
      </c>
      <c r="C29" t="s">
        <v>754</v>
      </c>
      <c r="D29">
        <v>3</v>
      </c>
      <c r="E29" t="s">
        <v>751</v>
      </c>
      <c r="F29" t="s">
        <v>779</v>
      </c>
      <c r="G29" t="str">
        <f t="shared" si="4"/>
        <v>A</v>
      </c>
      <c r="H29">
        <f>_xlfn.XLOOKUP(Table2[[#This Row],[Zone]],Table1[Row],Table1[Max Bay],_xleta.NA,0)</f>
        <v>12</v>
      </c>
      <c r="I29" s="1" t="str">
        <f t="shared" si="0"/>
        <v>10</v>
      </c>
      <c r="J29">
        <f t="shared" si="1"/>
        <v>3</v>
      </c>
      <c r="K29" t="str">
        <f>_xlfn.XLOOKUP(Table2[[#This Row],[Row]],Table1[Row],Table1[StartSide],0)</f>
        <v>R</v>
      </c>
      <c r="L29" t="str">
        <f t="shared" si="2"/>
        <v>L</v>
      </c>
      <c r="M29" t="str">
        <f t="shared" si="3"/>
        <v>PS1_A10_3_L</v>
      </c>
    </row>
    <row r="30" spans="1:13" x14ac:dyDescent="0.25">
      <c r="A30" t="s">
        <v>37</v>
      </c>
      <c r="B30" t="s">
        <v>749</v>
      </c>
      <c r="C30" t="s">
        <v>754</v>
      </c>
      <c r="D30">
        <v>3</v>
      </c>
      <c r="E30" t="s">
        <v>752</v>
      </c>
      <c r="F30" t="s">
        <v>779</v>
      </c>
      <c r="G30" t="str">
        <f t="shared" si="4"/>
        <v>A</v>
      </c>
      <c r="H30">
        <f>_xlfn.XLOOKUP(Table2[[#This Row],[Zone]],Table1[Row],Table1[Max Bay],_xleta.NA,0)</f>
        <v>12</v>
      </c>
      <c r="I30" s="1" t="str">
        <f t="shared" si="0"/>
        <v>10</v>
      </c>
      <c r="J30">
        <f t="shared" si="1"/>
        <v>3</v>
      </c>
      <c r="K30" t="str">
        <f>_xlfn.XLOOKUP(Table2[[#This Row],[Row]],Table1[Row],Table1[StartSide],0)</f>
        <v>R</v>
      </c>
      <c r="L30" t="str">
        <f t="shared" si="2"/>
        <v>R</v>
      </c>
      <c r="M30" t="str">
        <f t="shared" si="3"/>
        <v>PS1_A10_3_R</v>
      </c>
    </row>
    <row r="31" spans="1:13" x14ac:dyDescent="0.25">
      <c r="A31" t="s">
        <v>38</v>
      </c>
      <c r="B31" t="s">
        <v>749</v>
      </c>
      <c r="C31" t="s">
        <v>754</v>
      </c>
      <c r="D31">
        <v>4</v>
      </c>
      <c r="E31" t="s">
        <v>751</v>
      </c>
      <c r="F31" t="s">
        <v>779</v>
      </c>
      <c r="G31" t="str">
        <f t="shared" si="4"/>
        <v>A</v>
      </c>
      <c r="H31">
        <f>_xlfn.XLOOKUP(Table2[[#This Row],[Zone]],Table1[Row],Table1[Max Bay],_xleta.NA,0)</f>
        <v>12</v>
      </c>
      <c r="I31" s="1" t="str">
        <f t="shared" si="0"/>
        <v>10</v>
      </c>
      <c r="J31">
        <f t="shared" si="1"/>
        <v>4</v>
      </c>
      <c r="K31" t="str">
        <f>_xlfn.XLOOKUP(Table2[[#This Row],[Row]],Table1[Row],Table1[StartSide],0)</f>
        <v>R</v>
      </c>
      <c r="L31" t="str">
        <f t="shared" si="2"/>
        <v>L</v>
      </c>
      <c r="M31" t="str">
        <f t="shared" si="3"/>
        <v>PS1_A10_4_L</v>
      </c>
    </row>
    <row r="32" spans="1:13" x14ac:dyDescent="0.25">
      <c r="A32" t="s">
        <v>39</v>
      </c>
      <c r="B32" t="s">
        <v>749</v>
      </c>
      <c r="C32" t="s">
        <v>754</v>
      </c>
      <c r="D32">
        <v>4</v>
      </c>
      <c r="E32" t="s">
        <v>752</v>
      </c>
      <c r="F32" t="s">
        <v>779</v>
      </c>
      <c r="G32" t="str">
        <f t="shared" si="4"/>
        <v>A</v>
      </c>
      <c r="H32">
        <f>_xlfn.XLOOKUP(Table2[[#This Row],[Zone]],Table1[Row],Table1[Max Bay],_xleta.NA,0)</f>
        <v>12</v>
      </c>
      <c r="I32" s="1" t="str">
        <f t="shared" si="0"/>
        <v>10</v>
      </c>
      <c r="J32">
        <f t="shared" si="1"/>
        <v>4</v>
      </c>
      <c r="K32" t="str">
        <f>_xlfn.XLOOKUP(Table2[[#This Row],[Row]],Table1[Row],Table1[StartSide],0)</f>
        <v>R</v>
      </c>
      <c r="L32" t="str">
        <f t="shared" si="2"/>
        <v>R</v>
      </c>
      <c r="M32" t="str">
        <f t="shared" si="3"/>
        <v>PS1_A10_4_R</v>
      </c>
    </row>
    <row r="33" spans="1:13" x14ac:dyDescent="0.25">
      <c r="A33" t="s">
        <v>40</v>
      </c>
      <c r="B33" t="s">
        <v>749</v>
      </c>
      <c r="C33" t="s">
        <v>754</v>
      </c>
      <c r="D33">
        <v>5</v>
      </c>
      <c r="E33" t="s">
        <v>751</v>
      </c>
      <c r="F33" t="s">
        <v>779</v>
      </c>
      <c r="G33" t="str">
        <f t="shared" si="4"/>
        <v>A</v>
      </c>
      <c r="H33">
        <f>_xlfn.XLOOKUP(Table2[[#This Row],[Zone]],Table1[Row],Table1[Max Bay],_xleta.NA,0)</f>
        <v>12</v>
      </c>
      <c r="I33" s="1" t="str">
        <f t="shared" si="0"/>
        <v>10</v>
      </c>
      <c r="J33">
        <f t="shared" si="1"/>
        <v>5</v>
      </c>
      <c r="K33" t="str">
        <f>_xlfn.XLOOKUP(Table2[[#This Row],[Row]],Table1[Row],Table1[StartSide],0)</f>
        <v>R</v>
      </c>
      <c r="L33" t="str">
        <f t="shared" si="2"/>
        <v>L</v>
      </c>
      <c r="M33" t="str">
        <f t="shared" si="3"/>
        <v>PS1_A10_5_L</v>
      </c>
    </row>
    <row r="34" spans="1:13" x14ac:dyDescent="0.25">
      <c r="A34" t="s">
        <v>41</v>
      </c>
      <c r="B34" t="s">
        <v>749</v>
      </c>
      <c r="C34" t="s">
        <v>754</v>
      </c>
      <c r="D34">
        <v>5</v>
      </c>
      <c r="E34" t="s">
        <v>752</v>
      </c>
      <c r="F34" t="s">
        <v>779</v>
      </c>
      <c r="G34" t="str">
        <f t="shared" si="4"/>
        <v>A</v>
      </c>
      <c r="H34">
        <f>_xlfn.XLOOKUP(Table2[[#This Row],[Zone]],Table1[Row],Table1[Max Bay],_xleta.NA,0)</f>
        <v>12</v>
      </c>
      <c r="I34" s="1" t="str">
        <f t="shared" si="0"/>
        <v>10</v>
      </c>
      <c r="J34">
        <f t="shared" si="1"/>
        <v>5</v>
      </c>
      <c r="K34" t="str">
        <f>_xlfn.XLOOKUP(Table2[[#This Row],[Row]],Table1[Row],Table1[StartSide],0)</f>
        <v>R</v>
      </c>
      <c r="L34" t="str">
        <f t="shared" si="2"/>
        <v>R</v>
      </c>
      <c r="M34" t="str">
        <f t="shared" si="3"/>
        <v>PS1_A10_5_R</v>
      </c>
    </row>
    <row r="35" spans="1:13" x14ac:dyDescent="0.25">
      <c r="A35" t="s">
        <v>42</v>
      </c>
      <c r="B35" t="s">
        <v>749</v>
      </c>
      <c r="C35" t="s">
        <v>754</v>
      </c>
      <c r="D35">
        <v>6</v>
      </c>
      <c r="E35" t="s">
        <v>751</v>
      </c>
      <c r="F35" t="s">
        <v>779</v>
      </c>
      <c r="G35" t="str">
        <f t="shared" si="4"/>
        <v>A</v>
      </c>
      <c r="H35">
        <f>_xlfn.XLOOKUP(Table2[[#This Row],[Zone]],Table1[Row],Table1[Max Bay],_xleta.NA,0)</f>
        <v>12</v>
      </c>
      <c r="I35" s="1" t="str">
        <f t="shared" si="0"/>
        <v>10</v>
      </c>
      <c r="J35">
        <f t="shared" si="1"/>
        <v>6</v>
      </c>
      <c r="K35" t="str">
        <f>_xlfn.XLOOKUP(Table2[[#This Row],[Row]],Table1[Row],Table1[StartSide],0)</f>
        <v>R</v>
      </c>
      <c r="L35" t="str">
        <f t="shared" si="2"/>
        <v>L</v>
      </c>
      <c r="M35" t="str">
        <f t="shared" si="3"/>
        <v>PS1_A10_6_L</v>
      </c>
    </row>
    <row r="36" spans="1:13" x14ac:dyDescent="0.25">
      <c r="A36" t="s">
        <v>43</v>
      </c>
      <c r="B36" t="s">
        <v>749</v>
      </c>
      <c r="C36" t="s">
        <v>754</v>
      </c>
      <c r="D36">
        <v>6</v>
      </c>
      <c r="E36" t="s">
        <v>752</v>
      </c>
      <c r="F36" t="s">
        <v>779</v>
      </c>
      <c r="G36" t="str">
        <f t="shared" si="4"/>
        <v>A</v>
      </c>
      <c r="H36">
        <f>_xlfn.XLOOKUP(Table2[[#This Row],[Zone]],Table1[Row],Table1[Max Bay],_xleta.NA,0)</f>
        <v>12</v>
      </c>
      <c r="I36" s="1" t="str">
        <f t="shared" si="0"/>
        <v>10</v>
      </c>
      <c r="J36">
        <f t="shared" si="1"/>
        <v>6</v>
      </c>
      <c r="K36" t="str">
        <f>_xlfn.XLOOKUP(Table2[[#This Row],[Row]],Table1[Row],Table1[StartSide],0)</f>
        <v>R</v>
      </c>
      <c r="L36" t="str">
        <f t="shared" si="2"/>
        <v>R</v>
      </c>
      <c r="M36" t="str">
        <f t="shared" si="3"/>
        <v>PS1_A10_6_R</v>
      </c>
    </row>
    <row r="37" spans="1:13" x14ac:dyDescent="0.25">
      <c r="A37" t="s">
        <v>44</v>
      </c>
      <c r="B37" t="s">
        <v>749</v>
      </c>
      <c r="C37" t="s">
        <v>755</v>
      </c>
      <c r="D37">
        <v>1</v>
      </c>
      <c r="E37" t="s">
        <v>751</v>
      </c>
      <c r="F37" t="s">
        <v>779</v>
      </c>
      <c r="G37" t="str">
        <f t="shared" si="4"/>
        <v>A</v>
      </c>
      <c r="H37">
        <f>_xlfn.XLOOKUP(Table2[[#This Row],[Zone]],Table1[Row],Table1[Max Bay],_xleta.NA,0)</f>
        <v>12</v>
      </c>
      <c r="I37" s="1" t="str">
        <f t="shared" si="0"/>
        <v>09</v>
      </c>
      <c r="J37">
        <f t="shared" si="1"/>
        <v>1</v>
      </c>
      <c r="K37" t="str">
        <f>_xlfn.XLOOKUP(Table2[[#This Row],[Row]],Table1[Row],Table1[StartSide],0)</f>
        <v>R</v>
      </c>
      <c r="L37" t="str">
        <f t="shared" si="2"/>
        <v>L</v>
      </c>
      <c r="M37" t="str">
        <f t="shared" si="3"/>
        <v>PS1_A09_1_L</v>
      </c>
    </row>
    <row r="38" spans="1:13" x14ac:dyDescent="0.25">
      <c r="A38" t="s">
        <v>45</v>
      </c>
      <c r="B38" t="s">
        <v>749</v>
      </c>
      <c r="C38" t="s">
        <v>755</v>
      </c>
      <c r="D38">
        <v>1</v>
      </c>
      <c r="E38" t="s">
        <v>752</v>
      </c>
      <c r="F38" t="s">
        <v>779</v>
      </c>
      <c r="G38" t="str">
        <f t="shared" si="4"/>
        <v>A</v>
      </c>
      <c r="H38">
        <f>_xlfn.XLOOKUP(Table2[[#This Row],[Zone]],Table1[Row],Table1[Max Bay],_xleta.NA,0)</f>
        <v>12</v>
      </c>
      <c r="I38" s="1" t="str">
        <f t="shared" si="0"/>
        <v>09</v>
      </c>
      <c r="J38">
        <f t="shared" si="1"/>
        <v>1</v>
      </c>
      <c r="K38" t="str">
        <f>_xlfn.XLOOKUP(Table2[[#This Row],[Row]],Table1[Row],Table1[StartSide],0)</f>
        <v>R</v>
      </c>
      <c r="L38" t="str">
        <f t="shared" si="2"/>
        <v>R</v>
      </c>
      <c r="M38" t="str">
        <f t="shared" si="3"/>
        <v>PS1_A09_1_R</v>
      </c>
    </row>
    <row r="39" spans="1:13" x14ac:dyDescent="0.25">
      <c r="A39" t="s">
        <v>46</v>
      </c>
      <c r="B39" t="s">
        <v>749</v>
      </c>
      <c r="C39" t="s">
        <v>755</v>
      </c>
      <c r="D39">
        <v>2</v>
      </c>
      <c r="E39" t="s">
        <v>751</v>
      </c>
      <c r="F39" t="s">
        <v>779</v>
      </c>
      <c r="G39" t="str">
        <f t="shared" si="4"/>
        <v>A</v>
      </c>
      <c r="H39">
        <f>_xlfn.XLOOKUP(Table2[[#This Row],[Zone]],Table1[Row],Table1[Max Bay],_xleta.NA,0)</f>
        <v>12</v>
      </c>
      <c r="I39" s="1" t="str">
        <f t="shared" si="0"/>
        <v>09</v>
      </c>
      <c r="J39">
        <f t="shared" si="1"/>
        <v>2</v>
      </c>
      <c r="K39" t="str">
        <f>_xlfn.XLOOKUP(Table2[[#This Row],[Row]],Table1[Row],Table1[StartSide],0)</f>
        <v>R</v>
      </c>
      <c r="L39" t="str">
        <f t="shared" si="2"/>
        <v>L</v>
      </c>
      <c r="M39" t="str">
        <f t="shared" si="3"/>
        <v>PS1_A09_2_L</v>
      </c>
    </row>
    <row r="40" spans="1:13" x14ac:dyDescent="0.25">
      <c r="A40" t="s">
        <v>47</v>
      </c>
      <c r="B40" t="s">
        <v>749</v>
      </c>
      <c r="C40" t="s">
        <v>755</v>
      </c>
      <c r="D40">
        <v>2</v>
      </c>
      <c r="E40" t="s">
        <v>752</v>
      </c>
      <c r="F40" t="s">
        <v>779</v>
      </c>
      <c r="G40" t="str">
        <f t="shared" si="4"/>
        <v>A</v>
      </c>
      <c r="H40">
        <f>_xlfn.XLOOKUP(Table2[[#This Row],[Zone]],Table1[Row],Table1[Max Bay],_xleta.NA,0)</f>
        <v>12</v>
      </c>
      <c r="I40" s="1" t="str">
        <f t="shared" si="0"/>
        <v>09</v>
      </c>
      <c r="J40">
        <f t="shared" si="1"/>
        <v>2</v>
      </c>
      <c r="K40" t="str">
        <f>_xlfn.XLOOKUP(Table2[[#This Row],[Row]],Table1[Row],Table1[StartSide],0)</f>
        <v>R</v>
      </c>
      <c r="L40" t="str">
        <f t="shared" si="2"/>
        <v>R</v>
      </c>
      <c r="M40" t="str">
        <f t="shared" si="3"/>
        <v>PS1_A09_2_R</v>
      </c>
    </row>
    <row r="41" spans="1:13" x14ac:dyDescent="0.25">
      <c r="A41" t="s">
        <v>48</v>
      </c>
      <c r="B41" t="s">
        <v>749</v>
      </c>
      <c r="C41" t="s">
        <v>755</v>
      </c>
      <c r="D41">
        <v>3</v>
      </c>
      <c r="E41" t="s">
        <v>751</v>
      </c>
      <c r="F41" t="s">
        <v>779</v>
      </c>
      <c r="G41" t="str">
        <f t="shared" si="4"/>
        <v>A</v>
      </c>
      <c r="H41">
        <f>_xlfn.XLOOKUP(Table2[[#This Row],[Zone]],Table1[Row],Table1[Max Bay],_xleta.NA,0)</f>
        <v>12</v>
      </c>
      <c r="I41" s="1" t="str">
        <f t="shared" si="0"/>
        <v>09</v>
      </c>
      <c r="J41">
        <f t="shared" si="1"/>
        <v>3</v>
      </c>
      <c r="K41" t="str">
        <f>_xlfn.XLOOKUP(Table2[[#This Row],[Row]],Table1[Row],Table1[StartSide],0)</f>
        <v>R</v>
      </c>
      <c r="L41" t="str">
        <f t="shared" si="2"/>
        <v>L</v>
      </c>
      <c r="M41" t="str">
        <f t="shared" si="3"/>
        <v>PS1_A09_3_L</v>
      </c>
    </row>
    <row r="42" spans="1:13" x14ac:dyDescent="0.25">
      <c r="A42" t="s">
        <v>49</v>
      </c>
      <c r="B42" t="s">
        <v>749</v>
      </c>
      <c r="C42" t="s">
        <v>755</v>
      </c>
      <c r="D42">
        <v>3</v>
      </c>
      <c r="E42" t="s">
        <v>752</v>
      </c>
      <c r="F42" t="s">
        <v>779</v>
      </c>
      <c r="G42" t="str">
        <f t="shared" si="4"/>
        <v>A</v>
      </c>
      <c r="H42">
        <f>_xlfn.XLOOKUP(Table2[[#This Row],[Zone]],Table1[Row],Table1[Max Bay],_xleta.NA,0)</f>
        <v>12</v>
      </c>
      <c r="I42" s="1" t="str">
        <f t="shared" si="0"/>
        <v>09</v>
      </c>
      <c r="J42">
        <f t="shared" si="1"/>
        <v>3</v>
      </c>
      <c r="K42" t="str">
        <f>_xlfn.XLOOKUP(Table2[[#This Row],[Row]],Table1[Row],Table1[StartSide],0)</f>
        <v>R</v>
      </c>
      <c r="L42" t="str">
        <f t="shared" si="2"/>
        <v>R</v>
      </c>
      <c r="M42" t="str">
        <f t="shared" si="3"/>
        <v>PS1_A09_3_R</v>
      </c>
    </row>
    <row r="43" spans="1:13" x14ac:dyDescent="0.25">
      <c r="A43" t="s">
        <v>50</v>
      </c>
      <c r="B43" t="s">
        <v>749</v>
      </c>
      <c r="C43" t="s">
        <v>755</v>
      </c>
      <c r="D43">
        <v>4</v>
      </c>
      <c r="E43" t="s">
        <v>751</v>
      </c>
      <c r="F43" t="s">
        <v>779</v>
      </c>
      <c r="G43" t="str">
        <f t="shared" si="4"/>
        <v>A</v>
      </c>
      <c r="H43">
        <f>_xlfn.XLOOKUP(Table2[[#This Row],[Zone]],Table1[Row],Table1[Max Bay],_xleta.NA,0)</f>
        <v>12</v>
      </c>
      <c r="I43" s="1" t="str">
        <f t="shared" si="0"/>
        <v>09</v>
      </c>
      <c r="J43">
        <f t="shared" si="1"/>
        <v>4</v>
      </c>
      <c r="K43" t="str">
        <f>_xlfn.XLOOKUP(Table2[[#This Row],[Row]],Table1[Row],Table1[StartSide],0)</f>
        <v>R</v>
      </c>
      <c r="L43" t="str">
        <f t="shared" si="2"/>
        <v>L</v>
      </c>
      <c r="M43" t="str">
        <f t="shared" si="3"/>
        <v>PS1_A09_4_L</v>
      </c>
    </row>
    <row r="44" spans="1:13" x14ac:dyDescent="0.25">
      <c r="A44" t="s">
        <v>51</v>
      </c>
      <c r="B44" t="s">
        <v>749</v>
      </c>
      <c r="C44" t="s">
        <v>755</v>
      </c>
      <c r="D44">
        <v>4</v>
      </c>
      <c r="E44" t="s">
        <v>752</v>
      </c>
      <c r="F44" t="s">
        <v>779</v>
      </c>
      <c r="G44" t="str">
        <f t="shared" si="4"/>
        <v>A</v>
      </c>
      <c r="H44">
        <f>_xlfn.XLOOKUP(Table2[[#This Row],[Zone]],Table1[Row],Table1[Max Bay],_xleta.NA,0)</f>
        <v>12</v>
      </c>
      <c r="I44" s="1" t="str">
        <f t="shared" si="0"/>
        <v>09</v>
      </c>
      <c r="J44">
        <f t="shared" si="1"/>
        <v>4</v>
      </c>
      <c r="K44" t="str">
        <f>_xlfn.XLOOKUP(Table2[[#This Row],[Row]],Table1[Row],Table1[StartSide],0)</f>
        <v>R</v>
      </c>
      <c r="L44" t="str">
        <f t="shared" si="2"/>
        <v>R</v>
      </c>
      <c r="M44" t="str">
        <f t="shared" si="3"/>
        <v>PS1_A09_4_R</v>
      </c>
    </row>
    <row r="45" spans="1:13" x14ac:dyDescent="0.25">
      <c r="A45" t="s">
        <v>52</v>
      </c>
      <c r="B45" t="s">
        <v>749</v>
      </c>
      <c r="C45" t="s">
        <v>755</v>
      </c>
      <c r="D45">
        <v>5</v>
      </c>
      <c r="E45" t="s">
        <v>751</v>
      </c>
      <c r="F45" t="s">
        <v>779</v>
      </c>
      <c r="G45" t="str">
        <f t="shared" si="4"/>
        <v>A</v>
      </c>
      <c r="H45">
        <f>_xlfn.XLOOKUP(Table2[[#This Row],[Zone]],Table1[Row],Table1[Max Bay],_xleta.NA,0)</f>
        <v>12</v>
      </c>
      <c r="I45" s="1" t="str">
        <f t="shared" si="0"/>
        <v>09</v>
      </c>
      <c r="J45">
        <f t="shared" si="1"/>
        <v>5</v>
      </c>
      <c r="K45" t="str">
        <f>_xlfn.XLOOKUP(Table2[[#This Row],[Row]],Table1[Row],Table1[StartSide],0)</f>
        <v>R</v>
      </c>
      <c r="L45" t="str">
        <f t="shared" si="2"/>
        <v>L</v>
      </c>
      <c r="M45" t="str">
        <f t="shared" si="3"/>
        <v>PS1_A09_5_L</v>
      </c>
    </row>
    <row r="46" spans="1:13" x14ac:dyDescent="0.25">
      <c r="A46" t="s">
        <v>53</v>
      </c>
      <c r="B46" t="s">
        <v>749</v>
      </c>
      <c r="C46" t="s">
        <v>755</v>
      </c>
      <c r="D46">
        <v>5</v>
      </c>
      <c r="E46" t="s">
        <v>752</v>
      </c>
      <c r="F46" t="s">
        <v>779</v>
      </c>
      <c r="G46" t="str">
        <f t="shared" si="4"/>
        <v>A</v>
      </c>
      <c r="H46">
        <f>_xlfn.XLOOKUP(Table2[[#This Row],[Zone]],Table1[Row],Table1[Max Bay],_xleta.NA,0)</f>
        <v>12</v>
      </c>
      <c r="I46" s="1" t="str">
        <f t="shared" si="0"/>
        <v>09</v>
      </c>
      <c r="J46">
        <f t="shared" si="1"/>
        <v>5</v>
      </c>
      <c r="K46" t="str">
        <f>_xlfn.XLOOKUP(Table2[[#This Row],[Row]],Table1[Row],Table1[StartSide],0)</f>
        <v>R</v>
      </c>
      <c r="L46" t="str">
        <f t="shared" si="2"/>
        <v>R</v>
      </c>
      <c r="M46" t="str">
        <f t="shared" si="3"/>
        <v>PS1_A09_5_R</v>
      </c>
    </row>
    <row r="47" spans="1:13" x14ac:dyDescent="0.25">
      <c r="A47" t="s">
        <v>54</v>
      </c>
      <c r="B47" t="s">
        <v>749</v>
      </c>
      <c r="C47" t="s">
        <v>755</v>
      </c>
      <c r="D47">
        <v>6</v>
      </c>
      <c r="E47" t="s">
        <v>751</v>
      </c>
      <c r="F47" t="s">
        <v>779</v>
      </c>
      <c r="G47" t="str">
        <f t="shared" si="4"/>
        <v>A</v>
      </c>
      <c r="H47">
        <f>_xlfn.XLOOKUP(Table2[[#This Row],[Zone]],Table1[Row],Table1[Max Bay],_xleta.NA,0)</f>
        <v>12</v>
      </c>
      <c r="I47" s="1" t="str">
        <f t="shared" si="0"/>
        <v>09</v>
      </c>
      <c r="J47">
        <f t="shared" si="1"/>
        <v>6</v>
      </c>
      <c r="K47" t="str">
        <f>_xlfn.XLOOKUP(Table2[[#This Row],[Row]],Table1[Row],Table1[StartSide],0)</f>
        <v>R</v>
      </c>
      <c r="L47" t="str">
        <f t="shared" si="2"/>
        <v>L</v>
      </c>
      <c r="M47" t="str">
        <f t="shared" si="3"/>
        <v>PS1_A09_6_L</v>
      </c>
    </row>
    <row r="48" spans="1:13" x14ac:dyDescent="0.25">
      <c r="A48" t="s">
        <v>55</v>
      </c>
      <c r="B48" t="s">
        <v>749</v>
      </c>
      <c r="C48" t="s">
        <v>755</v>
      </c>
      <c r="D48">
        <v>6</v>
      </c>
      <c r="E48" t="s">
        <v>752</v>
      </c>
      <c r="F48" t="s">
        <v>779</v>
      </c>
      <c r="G48" t="str">
        <f t="shared" si="4"/>
        <v>A</v>
      </c>
      <c r="H48">
        <f>_xlfn.XLOOKUP(Table2[[#This Row],[Zone]],Table1[Row],Table1[Max Bay],_xleta.NA,0)</f>
        <v>12</v>
      </c>
      <c r="I48" s="1" t="str">
        <f t="shared" si="0"/>
        <v>09</v>
      </c>
      <c r="J48">
        <f t="shared" si="1"/>
        <v>6</v>
      </c>
      <c r="K48" t="str">
        <f>_xlfn.XLOOKUP(Table2[[#This Row],[Row]],Table1[Row],Table1[StartSide],0)</f>
        <v>R</v>
      </c>
      <c r="L48" t="str">
        <f t="shared" si="2"/>
        <v>R</v>
      </c>
      <c r="M48" t="str">
        <f t="shared" si="3"/>
        <v>PS1_A09_6_R</v>
      </c>
    </row>
    <row r="49" spans="1:13" x14ac:dyDescent="0.25">
      <c r="A49" t="s">
        <v>56</v>
      </c>
      <c r="B49" t="s">
        <v>749</v>
      </c>
      <c r="C49" t="s">
        <v>756</v>
      </c>
      <c r="D49">
        <v>1</v>
      </c>
      <c r="E49" t="s">
        <v>751</v>
      </c>
      <c r="F49" t="s">
        <v>779</v>
      </c>
      <c r="G49" t="str">
        <f t="shared" si="4"/>
        <v>A</v>
      </c>
      <c r="H49">
        <f>_xlfn.XLOOKUP(Table2[[#This Row],[Zone]],Table1[Row],Table1[Max Bay],_xleta.NA,0)</f>
        <v>12</v>
      </c>
      <c r="I49" s="1" t="str">
        <f t="shared" si="0"/>
        <v>08</v>
      </c>
      <c r="J49">
        <f t="shared" si="1"/>
        <v>1</v>
      </c>
      <c r="K49" t="str">
        <f>_xlfn.XLOOKUP(Table2[[#This Row],[Row]],Table1[Row],Table1[StartSide],0)</f>
        <v>R</v>
      </c>
      <c r="L49" t="str">
        <f t="shared" si="2"/>
        <v>L</v>
      </c>
      <c r="M49" t="str">
        <f t="shared" si="3"/>
        <v>PS1_A08_1_L</v>
      </c>
    </row>
    <row r="50" spans="1:13" x14ac:dyDescent="0.25">
      <c r="A50" t="s">
        <v>57</v>
      </c>
      <c r="B50" t="s">
        <v>749</v>
      </c>
      <c r="C50" t="s">
        <v>756</v>
      </c>
      <c r="D50">
        <v>1</v>
      </c>
      <c r="E50" t="s">
        <v>752</v>
      </c>
      <c r="F50" t="s">
        <v>779</v>
      </c>
      <c r="G50" t="str">
        <f t="shared" si="4"/>
        <v>A</v>
      </c>
      <c r="H50">
        <f>_xlfn.XLOOKUP(Table2[[#This Row],[Zone]],Table1[Row],Table1[Max Bay],_xleta.NA,0)</f>
        <v>12</v>
      </c>
      <c r="I50" s="1" t="str">
        <f t="shared" si="0"/>
        <v>08</v>
      </c>
      <c r="J50">
        <f t="shared" si="1"/>
        <v>1</v>
      </c>
      <c r="K50" t="str">
        <f>_xlfn.XLOOKUP(Table2[[#This Row],[Row]],Table1[Row],Table1[StartSide],0)</f>
        <v>R</v>
      </c>
      <c r="L50" t="str">
        <f t="shared" si="2"/>
        <v>R</v>
      </c>
      <c r="M50" t="str">
        <f t="shared" si="3"/>
        <v>PS1_A08_1_R</v>
      </c>
    </row>
    <row r="51" spans="1:13" x14ac:dyDescent="0.25">
      <c r="A51" t="s">
        <v>58</v>
      </c>
      <c r="B51" t="s">
        <v>749</v>
      </c>
      <c r="C51" t="s">
        <v>756</v>
      </c>
      <c r="D51">
        <v>2</v>
      </c>
      <c r="E51" t="s">
        <v>751</v>
      </c>
      <c r="F51" t="s">
        <v>779</v>
      </c>
      <c r="G51" t="str">
        <f t="shared" si="4"/>
        <v>A</v>
      </c>
      <c r="H51">
        <f>_xlfn.XLOOKUP(Table2[[#This Row],[Zone]],Table1[Row],Table1[Max Bay],_xleta.NA,0)</f>
        <v>12</v>
      </c>
      <c r="I51" s="1" t="str">
        <f t="shared" si="0"/>
        <v>08</v>
      </c>
      <c r="J51">
        <f t="shared" si="1"/>
        <v>2</v>
      </c>
      <c r="K51" t="str">
        <f>_xlfn.XLOOKUP(Table2[[#This Row],[Row]],Table1[Row],Table1[StartSide],0)</f>
        <v>R</v>
      </c>
      <c r="L51" t="str">
        <f t="shared" si="2"/>
        <v>L</v>
      </c>
      <c r="M51" t="str">
        <f t="shared" si="3"/>
        <v>PS1_A08_2_L</v>
      </c>
    </row>
    <row r="52" spans="1:13" x14ac:dyDescent="0.25">
      <c r="A52" t="s">
        <v>59</v>
      </c>
      <c r="B52" t="s">
        <v>749</v>
      </c>
      <c r="C52" t="s">
        <v>756</v>
      </c>
      <c r="D52">
        <v>2</v>
      </c>
      <c r="E52" t="s">
        <v>752</v>
      </c>
      <c r="F52" t="s">
        <v>779</v>
      </c>
      <c r="G52" t="str">
        <f t="shared" si="4"/>
        <v>A</v>
      </c>
      <c r="H52">
        <f>_xlfn.XLOOKUP(Table2[[#This Row],[Zone]],Table1[Row],Table1[Max Bay],_xleta.NA,0)</f>
        <v>12</v>
      </c>
      <c r="I52" s="1" t="str">
        <f t="shared" si="0"/>
        <v>08</v>
      </c>
      <c r="J52">
        <f t="shared" si="1"/>
        <v>2</v>
      </c>
      <c r="K52" t="str">
        <f>_xlfn.XLOOKUP(Table2[[#This Row],[Row]],Table1[Row],Table1[StartSide],0)</f>
        <v>R</v>
      </c>
      <c r="L52" t="str">
        <f t="shared" si="2"/>
        <v>R</v>
      </c>
      <c r="M52" t="str">
        <f t="shared" si="3"/>
        <v>PS1_A08_2_R</v>
      </c>
    </row>
    <row r="53" spans="1:13" x14ac:dyDescent="0.25">
      <c r="A53" t="s">
        <v>60</v>
      </c>
      <c r="B53" t="s">
        <v>749</v>
      </c>
      <c r="C53" t="s">
        <v>756</v>
      </c>
      <c r="D53">
        <v>3</v>
      </c>
      <c r="E53" t="s">
        <v>751</v>
      </c>
      <c r="F53" t="s">
        <v>779</v>
      </c>
      <c r="G53" t="str">
        <f t="shared" si="4"/>
        <v>A</v>
      </c>
      <c r="H53">
        <f>_xlfn.XLOOKUP(Table2[[#This Row],[Zone]],Table1[Row],Table1[Max Bay],_xleta.NA,0)</f>
        <v>12</v>
      </c>
      <c r="I53" s="1" t="str">
        <f t="shared" si="0"/>
        <v>08</v>
      </c>
      <c r="J53">
        <f t="shared" si="1"/>
        <v>3</v>
      </c>
      <c r="K53" t="str">
        <f>_xlfn.XLOOKUP(Table2[[#This Row],[Row]],Table1[Row],Table1[StartSide],0)</f>
        <v>R</v>
      </c>
      <c r="L53" t="str">
        <f t="shared" si="2"/>
        <v>L</v>
      </c>
      <c r="M53" t="str">
        <f t="shared" si="3"/>
        <v>PS1_A08_3_L</v>
      </c>
    </row>
    <row r="54" spans="1:13" x14ac:dyDescent="0.25">
      <c r="A54" t="s">
        <v>61</v>
      </c>
      <c r="B54" t="s">
        <v>749</v>
      </c>
      <c r="C54" t="s">
        <v>756</v>
      </c>
      <c r="D54">
        <v>3</v>
      </c>
      <c r="E54" t="s">
        <v>752</v>
      </c>
      <c r="F54" t="s">
        <v>779</v>
      </c>
      <c r="G54" t="str">
        <f t="shared" si="4"/>
        <v>A</v>
      </c>
      <c r="H54">
        <f>_xlfn.XLOOKUP(Table2[[#This Row],[Zone]],Table1[Row],Table1[Max Bay],_xleta.NA,0)</f>
        <v>12</v>
      </c>
      <c r="I54" s="1" t="str">
        <f t="shared" si="0"/>
        <v>08</v>
      </c>
      <c r="J54">
        <f t="shared" si="1"/>
        <v>3</v>
      </c>
      <c r="K54" t="str">
        <f>_xlfn.XLOOKUP(Table2[[#This Row],[Row]],Table1[Row],Table1[StartSide],0)</f>
        <v>R</v>
      </c>
      <c r="L54" t="str">
        <f t="shared" si="2"/>
        <v>R</v>
      </c>
      <c r="M54" t="str">
        <f t="shared" si="3"/>
        <v>PS1_A08_3_R</v>
      </c>
    </row>
    <row r="55" spans="1:13" x14ac:dyDescent="0.25">
      <c r="A55" t="s">
        <v>62</v>
      </c>
      <c r="B55" t="s">
        <v>749</v>
      </c>
      <c r="C55" t="s">
        <v>756</v>
      </c>
      <c r="D55">
        <v>4</v>
      </c>
      <c r="E55" t="s">
        <v>751</v>
      </c>
      <c r="F55" t="s">
        <v>779</v>
      </c>
      <c r="G55" t="str">
        <f t="shared" si="4"/>
        <v>A</v>
      </c>
      <c r="H55">
        <f>_xlfn.XLOOKUP(Table2[[#This Row],[Zone]],Table1[Row],Table1[Max Bay],_xleta.NA,0)</f>
        <v>12</v>
      </c>
      <c r="I55" s="1" t="str">
        <f t="shared" si="0"/>
        <v>08</v>
      </c>
      <c r="J55">
        <f t="shared" si="1"/>
        <v>4</v>
      </c>
      <c r="K55" t="str">
        <f>_xlfn.XLOOKUP(Table2[[#This Row],[Row]],Table1[Row],Table1[StartSide],0)</f>
        <v>R</v>
      </c>
      <c r="L55" t="str">
        <f t="shared" si="2"/>
        <v>L</v>
      </c>
      <c r="M55" t="str">
        <f t="shared" si="3"/>
        <v>PS1_A08_4_L</v>
      </c>
    </row>
    <row r="56" spans="1:13" x14ac:dyDescent="0.25">
      <c r="A56" t="s">
        <v>63</v>
      </c>
      <c r="B56" t="s">
        <v>749</v>
      </c>
      <c r="C56" t="s">
        <v>756</v>
      </c>
      <c r="D56">
        <v>4</v>
      </c>
      <c r="E56" t="s">
        <v>752</v>
      </c>
      <c r="F56" t="s">
        <v>779</v>
      </c>
      <c r="G56" t="str">
        <f t="shared" si="4"/>
        <v>A</v>
      </c>
      <c r="H56">
        <f>_xlfn.XLOOKUP(Table2[[#This Row],[Zone]],Table1[Row],Table1[Max Bay],_xleta.NA,0)</f>
        <v>12</v>
      </c>
      <c r="I56" s="1" t="str">
        <f t="shared" si="0"/>
        <v>08</v>
      </c>
      <c r="J56">
        <f t="shared" si="1"/>
        <v>4</v>
      </c>
      <c r="K56" t="str">
        <f>_xlfn.XLOOKUP(Table2[[#This Row],[Row]],Table1[Row],Table1[StartSide],0)</f>
        <v>R</v>
      </c>
      <c r="L56" t="str">
        <f t="shared" si="2"/>
        <v>R</v>
      </c>
      <c r="M56" t="str">
        <f t="shared" si="3"/>
        <v>PS1_A08_4_R</v>
      </c>
    </row>
    <row r="57" spans="1:13" x14ac:dyDescent="0.25">
      <c r="A57" t="s">
        <v>64</v>
      </c>
      <c r="B57" t="s">
        <v>749</v>
      </c>
      <c r="C57" t="s">
        <v>756</v>
      </c>
      <c r="D57">
        <v>5</v>
      </c>
      <c r="E57" t="s">
        <v>751</v>
      </c>
      <c r="F57" t="s">
        <v>779</v>
      </c>
      <c r="G57" t="str">
        <f t="shared" si="4"/>
        <v>A</v>
      </c>
      <c r="H57">
        <f>_xlfn.XLOOKUP(Table2[[#This Row],[Zone]],Table1[Row],Table1[Max Bay],_xleta.NA,0)</f>
        <v>12</v>
      </c>
      <c r="I57" s="1" t="str">
        <f t="shared" si="0"/>
        <v>08</v>
      </c>
      <c r="J57">
        <f t="shared" si="1"/>
        <v>5</v>
      </c>
      <c r="K57" t="str">
        <f>_xlfn.XLOOKUP(Table2[[#This Row],[Row]],Table1[Row],Table1[StartSide],0)</f>
        <v>R</v>
      </c>
      <c r="L57" t="str">
        <f t="shared" si="2"/>
        <v>L</v>
      </c>
      <c r="M57" t="str">
        <f t="shared" si="3"/>
        <v>PS1_A08_5_L</v>
      </c>
    </row>
    <row r="58" spans="1:13" x14ac:dyDescent="0.25">
      <c r="A58" t="s">
        <v>65</v>
      </c>
      <c r="B58" t="s">
        <v>749</v>
      </c>
      <c r="C58" t="s">
        <v>756</v>
      </c>
      <c r="D58">
        <v>5</v>
      </c>
      <c r="E58" t="s">
        <v>752</v>
      </c>
      <c r="F58" t="s">
        <v>779</v>
      </c>
      <c r="G58" t="str">
        <f t="shared" si="4"/>
        <v>A</v>
      </c>
      <c r="H58">
        <f>_xlfn.XLOOKUP(Table2[[#This Row],[Zone]],Table1[Row],Table1[Max Bay],_xleta.NA,0)</f>
        <v>12</v>
      </c>
      <c r="I58" s="1" t="str">
        <f t="shared" si="0"/>
        <v>08</v>
      </c>
      <c r="J58">
        <f t="shared" si="1"/>
        <v>5</v>
      </c>
      <c r="K58" t="str">
        <f>_xlfn.XLOOKUP(Table2[[#This Row],[Row]],Table1[Row],Table1[StartSide],0)</f>
        <v>R</v>
      </c>
      <c r="L58" t="str">
        <f t="shared" si="2"/>
        <v>R</v>
      </c>
      <c r="M58" t="str">
        <f t="shared" si="3"/>
        <v>PS1_A08_5_R</v>
      </c>
    </row>
    <row r="59" spans="1:13" x14ac:dyDescent="0.25">
      <c r="A59" t="s">
        <v>66</v>
      </c>
      <c r="B59" t="s">
        <v>749</v>
      </c>
      <c r="C59" t="s">
        <v>756</v>
      </c>
      <c r="D59">
        <v>6</v>
      </c>
      <c r="E59" t="s">
        <v>751</v>
      </c>
      <c r="F59" t="s">
        <v>779</v>
      </c>
      <c r="G59" t="str">
        <f t="shared" si="4"/>
        <v>A</v>
      </c>
      <c r="H59">
        <f>_xlfn.XLOOKUP(Table2[[#This Row],[Zone]],Table1[Row],Table1[Max Bay],_xleta.NA,0)</f>
        <v>12</v>
      </c>
      <c r="I59" s="1" t="str">
        <f t="shared" si="0"/>
        <v>08</v>
      </c>
      <c r="J59">
        <f t="shared" si="1"/>
        <v>6</v>
      </c>
      <c r="K59" t="str">
        <f>_xlfn.XLOOKUP(Table2[[#This Row],[Row]],Table1[Row],Table1[StartSide],0)</f>
        <v>R</v>
      </c>
      <c r="L59" t="str">
        <f t="shared" si="2"/>
        <v>L</v>
      </c>
      <c r="M59" t="str">
        <f t="shared" si="3"/>
        <v>PS1_A08_6_L</v>
      </c>
    </row>
    <row r="60" spans="1:13" x14ac:dyDescent="0.25">
      <c r="A60" t="s">
        <v>67</v>
      </c>
      <c r="B60" t="s">
        <v>749</v>
      </c>
      <c r="C60" t="s">
        <v>756</v>
      </c>
      <c r="D60">
        <v>6</v>
      </c>
      <c r="E60" t="s">
        <v>752</v>
      </c>
      <c r="F60" t="s">
        <v>779</v>
      </c>
      <c r="G60" t="str">
        <f t="shared" si="4"/>
        <v>A</v>
      </c>
      <c r="H60">
        <f>_xlfn.XLOOKUP(Table2[[#This Row],[Zone]],Table1[Row],Table1[Max Bay],_xleta.NA,0)</f>
        <v>12</v>
      </c>
      <c r="I60" s="1" t="str">
        <f t="shared" si="0"/>
        <v>08</v>
      </c>
      <c r="J60">
        <f t="shared" si="1"/>
        <v>6</v>
      </c>
      <c r="K60" t="str">
        <f>_xlfn.XLOOKUP(Table2[[#This Row],[Row]],Table1[Row],Table1[StartSide],0)</f>
        <v>R</v>
      </c>
      <c r="L60" t="str">
        <f t="shared" si="2"/>
        <v>R</v>
      </c>
      <c r="M60" t="str">
        <f t="shared" si="3"/>
        <v>PS1_A08_6_R</v>
      </c>
    </row>
    <row r="61" spans="1:13" x14ac:dyDescent="0.25">
      <c r="A61" t="s">
        <v>68</v>
      </c>
      <c r="B61" t="s">
        <v>749</v>
      </c>
      <c r="C61" t="s">
        <v>757</v>
      </c>
      <c r="D61">
        <v>1</v>
      </c>
      <c r="E61" t="s">
        <v>751</v>
      </c>
      <c r="F61" t="s">
        <v>779</v>
      </c>
      <c r="G61" t="str">
        <f t="shared" si="4"/>
        <v>A</v>
      </c>
      <c r="H61">
        <f>_xlfn.XLOOKUP(Table2[[#This Row],[Zone]],Table1[Row],Table1[Max Bay],_xleta.NA,0)</f>
        <v>12</v>
      </c>
      <c r="I61" s="1" t="str">
        <f t="shared" si="0"/>
        <v>07</v>
      </c>
      <c r="J61">
        <f t="shared" si="1"/>
        <v>1</v>
      </c>
      <c r="K61" t="str">
        <f>_xlfn.XLOOKUP(Table2[[#This Row],[Row]],Table1[Row],Table1[StartSide],0)</f>
        <v>R</v>
      </c>
      <c r="L61" t="str">
        <f t="shared" si="2"/>
        <v>L</v>
      </c>
      <c r="M61" t="str">
        <f t="shared" si="3"/>
        <v>PS1_A07_1_L</v>
      </c>
    </row>
    <row r="62" spans="1:13" x14ac:dyDescent="0.25">
      <c r="A62" t="s">
        <v>69</v>
      </c>
      <c r="B62" t="s">
        <v>749</v>
      </c>
      <c r="C62" t="s">
        <v>757</v>
      </c>
      <c r="D62">
        <v>1</v>
      </c>
      <c r="E62" t="s">
        <v>752</v>
      </c>
      <c r="F62" t="s">
        <v>779</v>
      </c>
      <c r="G62" t="str">
        <f t="shared" si="4"/>
        <v>A</v>
      </c>
      <c r="H62">
        <f>_xlfn.XLOOKUP(Table2[[#This Row],[Zone]],Table1[Row],Table1[Max Bay],_xleta.NA,0)</f>
        <v>12</v>
      </c>
      <c r="I62" s="1" t="str">
        <f t="shared" si="0"/>
        <v>07</v>
      </c>
      <c r="J62">
        <f t="shared" si="1"/>
        <v>1</v>
      </c>
      <c r="K62" t="str">
        <f>_xlfn.XLOOKUP(Table2[[#This Row],[Row]],Table1[Row],Table1[StartSide],0)</f>
        <v>R</v>
      </c>
      <c r="L62" t="str">
        <f t="shared" si="2"/>
        <v>R</v>
      </c>
      <c r="M62" t="str">
        <f t="shared" si="3"/>
        <v>PS1_A07_1_R</v>
      </c>
    </row>
    <row r="63" spans="1:13" x14ac:dyDescent="0.25">
      <c r="A63" t="s">
        <v>70</v>
      </c>
      <c r="B63" t="s">
        <v>749</v>
      </c>
      <c r="C63" t="s">
        <v>757</v>
      </c>
      <c r="D63">
        <v>2</v>
      </c>
      <c r="E63" t="s">
        <v>751</v>
      </c>
      <c r="F63" t="s">
        <v>779</v>
      </c>
      <c r="G63" t="str">
        <f t="shared" si="4"/>
        <v>A</v>
      </c>
      <c r="H63">
        <f>_xlfn.XLOOKUP(Table2[[#This Row],[Zone]],Table1[Row],Table1[Max Bay],_xleta.NA,0)</f>
        <v>12</v>
      </c>
      <c r="I63" s="1" t="str">
        <f t="shared" si="0"/>
        <v>07</v>
      </c>
      <c r="J63">
        <f t="shared" si="1"/>
        <v>2</v>
      </c>
      <c r="K63" t="str">
        <f>_xlfn.XLOOKUP(Table2[[#This Row],[Row]],Table1[Row],Table1[StartSide],0)</f>
        <v>R</v>
      </c>
      <c r="L63" t="str">
        <f t="shared" si="2"/>
        <v>L</v>
      </c>
      <c r="M63" t="str">
        <f t="shared" si="3"/>
        <v>PS1_A07_2_L</v>
      </c>
    </row>
    <row r="64" spans="1:13" x14ac:dyDescent="0.25">
      <c r="A64" t="s">
        <v>71</v>
      </c>
      <c r="B64" t="s">
        <v>749</v>
      </c>
      <c r="C64" t="s">
        <v>757</v>
      </c>
      <c r="D64">
        <v>2</v>
      </c>
      <c r="E64" t="s">
        <v>752</v>
      </c>
      <c r="F64" t="s">
        <v>779</v>
      </c>
      <c r="G64" t="str">
        <f t="shared" si="4"/>
        <v>A</v>
      </c>
      <c r="H64">
        <f>_xlfn.XLOOKUP(Table2[[#This Row],[Zone]],Table1[Row],Table1[Max Bay],_xleta.NA,0)</f>
        <v>12</v>
      </c>
      <c r="I64" s="1" t="str">
        <f t="shared" si="0"/>
        <v>07</v>
      </c>
      <c r="J64">
        <f t="shared" si="1"/>
        <v>2</v>
      </c>
      <c r="K64" t="str">
        <f>_xlfn.XLOOKUP(Table2[[#This Row],[Row]],Table1[Row],Table1[StartSide],0)</f>
        <v>R</v>
      </c>
      <c r="L64" t="str">
        <f t="shared" si="2"/>
        <v>R</v>
      </c>
      <c r="M64" t="str">
        <f t="shared" si="3"/>
        <v>PS1_A07_2_R</v>
      </c>
    </row>
    <row r="65" spans="1:13" x14ac:dyDescent="0.25">
      <c r="A65" t="s">
        <v>72</v>
      </c>
      <c r="B65" t="s">
        <v>749</v>
      </c>
      <c r="C65" t="s">
        <v>757</v>
      </c>
      <c r="D65">
        <v>3</v>
      </c>
      <c r="E65" t="s">
        <v>751</v>
      </c>
      <c r="F65" t="s">
        <v>779</v>
      </c>
      <c r="G65" t="str">
        <f t="shared" si="4"/>
        <v>A</v>
      </c>
      <c r="H65">
        <f>_xlfn.XLOOKUP(Table2[[#This Row],[Zone]],Table1[Row],Table1[Max Bay],_xleta.NA,0)</f>
        <v>12</v>
      </c>
      <c r="I65" s="1" t="str">
        <f t="shared" si="0"/>
        <v>07</v>
      </c>
      <c r="J65">
        <f t="shared" si="1"/>
        <v>3</v>
      </c>
      <c r="K65" t="str">
        <f>_xlfn.XLOOKUP(Table2[[#This Row],[Row]],Table1[Row],Table1[StartSide],0)</f>
        <v>R</v>
      </c>
      <c r="L65" t="str">
        <f t="shared" si="2"/>
        <v>L</v>
      </c>
      <c r="M65" t="str">
        <f t="shared" si="3"/>
        <v>PS1_A07_3_L</v>
      </c>
    </row>
    <row r="66" spans="1:13" x14ac:dyDescent="0.25">
      <c r="A66" t="s">
        <v>73</v>
      </c>
      <c r="B66" t="s">
        <v>749</v>
      </c>
      <c r="C66" t="s">
        <v>757</v>
      </c>
      <c r="D66">
        <v>3</v>
      </c>
      <c r="E66" t="s">
        <v>752</v>
      </c>
      <c r="F66" t="s">
        <v>779</v>
      </c>
      <c r="G66" t="str">
        <f t="shared" si="4"/>
        <v>A</v>
      </c>
      <c r="H66">
        <f>_xlfn.XLOOKUP(Table2[[#This Row],[Zone]],Table1[Row],Table1[Max Bay],_xleta.NA,0)</f>
        <v>12</v>
      </c>
      <c r="I66" s="1" t="str">
        <f t="shared" ref="I66:I129" si="5">TEXT(H66-INT(C66)+1,"00")</f>
        <v>07</v>
      </c>
      <c r="J66">
        <f t="shared" ref="J66:J129" si="6">D66</f>
        <v>3</v>
      </c>
      <c r="K66" t="str">
        <f>_xlfn.XLOOKUP(Table2[[#This Row],[Row]],Table1[Row],Table1[StartSide],0)</f>
        <v>R</v>
      </c>
      <c r="L66" t="str">
        <f t="shared" ref="L66:L129" si="7">E66</f>
        <v>R</v>
      </c>
      <c r="M66" t="str">
        <f t="shared" ref="M66:M129" si="8">_xlfn.CONCAT(F66,"_",G66,I66,"_",J66,"_",L66)</f>
        <v>PS1_A07_3_R</v>
      </c>
    </row>
    <row r="67" spans="1:13" x14ac:dyDescent="0.25">
      <c r="A67" t="s">
        <v>74</v>
      </c>
      <c r="B67" t="s">
        <v>749</v>
      </c>
      <c r="C67" t="s">
        <v>757</v>
      </c>
      <c r="D67">
        <v>4</v>
      </c>
      <c r="E67" t="s">
        <v>751</v>
      </c>
      <c r="F67" t="s">
        <v>779</v>
      </c>
      <c r="G67" t="str">
        <f t="shared" ref="G67:G130" si="9">B67</f>
        <v>A</v>
      </c>
      <c r="H67">
        <f>_xlfn.XLOOKUP(Table2[[#This Row],[Zone]],Table1[Row],Table1[Max Bay],_xleta.NA,0)</f>
        <v>12</v>
      </c>
      <c r="I67" s="1" t="str">
        <f t="shared" si="5"/>
        <v>07</v>
      </c>
      <c r="J67">
        <f t="shared" si="6"/>
        <v>4</v>
      </c>
      <c r="K67" t="str">
        <f>_xlfn.XLOOKUP(Table2[[#This Row],[Row]],Table1[Row],Table1[StartSide],0)</f>
        <v>R</v>
      </c>
      <c r="L67" t="str">
        <f t="shared" si="7"/>
        <v>L</v>
      </c>
      <c r="M67" t="str">
        <f t="shared" si="8"/>
        <v>PS1_A07_4_L</v>
      </c>
    </row>
    <row r="68" spans="1:13" x14ac:dyDescent="0.25">
      <c r="A68" t="s">
        <v>75</v>
      </c>
      <c r="B68" t="s">
        <v>749</v>
      </c>
      <c r="C68" t="s">
        <v>757</v>
      </c>
      <c r="D68">
        <v>4</v>
      </c>
      <c r="E68" t="s">
        <v>752</v>
      </c>
      <c r="F68" t="s">
        <v>779</v>
      </c>
      <c r="G68" t="str">
        <f t="shared" si="9"/>
        <v>A</v>
      </c>
      <c r="H68">
        <f>_xlfn.XLOOKUP(Table2[[#This Row],[Zone]],Table1[Row],Table1[Max Bay],_xleta.NA,0)</f>
        <v>12</v>
      </c>
      <c r="I68" s="1" t="str">
        <f t="shared" si="5"/>
        <v>07</v>
      </c>
      <c r="J68">
        <f t="shared" si="6"/>
        <v>4</v>
      </c>
      <c r="K68" t="str">
        <f>_xlfn.XLOOKUP(Table2[[#This Row],[Row]],Table1[Row],Table1[StartSide],0)</f>
        <v>R</v>
      </c>
      <c r="L68" t="str">
        <f t="shared" si="7"/>
        <v>R</v>
      </c>
      <c r="M68" t="str">
        <f t="shared" si="8"/>
        <v>PS1_A07_4_R</v>
      </c>
    </row>
    <row r="69" spans="1:13" x14ac:dyDescent="0.25">
      <c r="A69" t="s">
        <v>76</v>
      </c>
      <c r="B69" t="s">
        <v>749</v>
      </c>
      <c r="C69" t="s">
        <v>757</v>
      </c>
      <c r="D69">
        <v>5</v>
      </c>
      <c r="E69" t="s">
        <v>751</v>
      </c>
      <c r="F69" t="s">
        <v>779</v>
      </c>
      <c r="G69" t="str">
        <f t="shared" si="9"/>
        <v>A</v>
      </c>
      <c r="H69">
        <f>_xlfn.XLOOKUP(Table2[[#This Row],[Zone]],Table1[Row],Table1[Max Bay],_xleta.NA,0)</f>
        <v>12</v>
      </c>
      <c r="I69" s="1" t="str">
        <f t="shared" si="5"/>
        <v>07</v>
      </c>
      <c r="J69">
        <f t="shared" si="6"/>
        <v>5</v>
      </c>
      <c r="K69" t="str">
        <f>_xlfn.XLOOKUP(Table2[[#This Row],[Row]],Table1[Row],Table1[StartSide],0)</f>
        <v>R</v>
      </c>
      <c r="L69" t="str">
        <f t="shared" si="7"/>
        <v>L</v>
      </c>
      <c r="M69" t="str">
        <f t="shared" si="8"/>
        <v>PS1_A07_5_L</v>
      </c>
    </row>
    <row r="70" spans="1:13" x14ac:dyDescent="0.25">
      <c r="A70" t="s">
        <v>77</v>
      </c>
      <c r="B70" t="s">
        <v>749</v>
      </c>
      <c r="C70" t="s">
        <v>757</v>
      </c>
      <c r="D70">
        <v>5</v>
      </c>
      <c r="E70" t="s">
        <v>752</v>
      </c>
      <c r="F70" t="s">
        <v>779</v>
      </c>
      <c r="G70" t="str">
        <f t="shared" si="9"/>
        <v>A</v>
      </c>
      <c r="H70">
        <f>_xlfn.XLOOKUP(Table2[[#This Row],[Zone]],Table1[Row],Table1[Max Bay],_xleta.NA,0)</f>
        <v>12</v>
      </c>
      <c r="I70" s="1" t="str">
        <f t="shared" si="5"/>
        <v>07</v>
      </c>
      <c r="J70">
        <f t="shared" si="6"/>
        <v>5</v>
      </c>
      <c r="K70" t="str">
        <f>_xlfn.XLOOKUP(Table2[[#This Row],[Row]],Table1[Row],Table1[StartSide],0)</f>
        <v>R</v>
      </c>
      <c r="L70" t="str">
        <f t="shared" si="7"/>
        <v>R</v>
      </c>
      <c r="M70" t="str">
        <f t="shared" si="8"/>
        <v>PS1_A07_5_R</v>
      </c>
    </row>
    <row r="71" spans="1:13" x14ac:dyDescent="0.25">
      <c r="A71" t="s">
        <v>78</v>
      </c>
      <c r="B71" t="s">
        <v>749</v>
      </c>
      <c r="C71" t="s">
        <v>757</v>
      </c>
      <c r="D71">
        <v>6</v>
      </c>
      <c r="E71" t="s">
        <v>751</v>
      </c>
      <c r="F71" t="s">
        <v>779</v>
      </c>
      <c r="G71" t="str">
        <f t="shared" si="9"/>
        <v>A</v>
      </c>
      <c r="H71">
        <f>_xlfn.XLOOKUP(Table2[[#This Row],[Zone]],Table1[Row],Table1[Max Bay],_xleta.NA,0)</f>
        <v>12</v>
      </c>
      <c r="I71" s="1" t="str">
        <f t="shared" si="5"/>
        <v>07</v>
      </c>
      <c r="J71">
        <f t="shared" si="6"/>
        <v>6</v>
      </c>
      <c r="K71" t="str">
        <f>_xlfn.XLOOKUP(Table2[[#This Row],[Row]],Table1[Row],Table1[StartSide],0)</f>
        <v>R</v>
      </c>
      <c r="L71" t="str">
        <f t="shared" si="7"/>
        <v>L</v>
      </c>
      <c r="M71" t="str">
        <f t="shared" si="8"/>
        <v>PS1_A07_6_L</v>
      </c>
    </row>
    <row r="72" spans="1:13" x14ac:dyDescent="0.25">
      <c r="A72" t="s">
        <v>79</v>
      </c>
      <c r="B72" t="s">
        <v>749</v>
      </c>
      <c r="C72" t="s">
        <v>757</v>
      </c>
      <c r="D72">
        <v>6</v>
      </c>
      <c r="E72" t="s">
        <v>752</v>
      </c>
      <c r="F72" t="s">
        <v>779</v>
      </c>
      <c r="G72" t="str">
        <f t="shared" si="9"/>
        <v>A</v>
      </c>
      <c r="H72">
        <f>_xlfn.XLOOKUP(Table2[[#This Row],[Zone]],Table1[Row],Table1[Max Bay],_xleta.NA,0)</f>
        <v>12</v>
      </c>
      <c r="I72" s="1" t="str">
        <f t="shared" si="5"/>
        <v>07</v>
      </c>
      <c r="J72">
        <f t="shared" si="6"/>
        <v>6</v>
      </c>
      <c r="K72" t="str">
        <f>_xlfn.XLOOKUP(Table2[[#This Row],[Row]],Table1[Row],Table1[StartSide],0)</f>
        <v>R</v>
      </c>
      <c r="L72" t="str">
        <f t="shared" si="7"/>
        <v>R</v>
      </c>
      <c r="M72" t="str">
        <f t="shared" si="8"/>
        <v>PS1_A07_6_R</v>
      </c>
    </row>
    <row r="73" spans="1:13" x14ac:dyDescent="0.25">
      <c r="A73" t="s">
        <v>80</v>
      </c>
      <c r="B73" t="s">
        <v>749</v>
      </c>
      <c r="C73" t="s">
        <v>758</v>
      </c>
      <c r="D73">
        <v>1</v>
      </c>
      <c r="E73" t="s">
        <v>751</v>
      </c>
      <c r="F73" t="s">
        <v>779</v>
      </c>
      <c r="G73" t="str">
        <f t="shared" si="9"/>
        <v>A</v>
      </c>
      <c r="H73">
        <f>_xlfn.XLOOKUP(Table2[[#This Row],[Zone]],Table1[Row],Table1[Max Bay],_xleta.NA,0)</f>
        <v>12</v>
      </c>
      <c r="I73" s="1" t="str">
        <f t="shared" si="5"/>
        <v>06</v>
      </c>
      <c r="J73">
        <f t="shared" si="6"/>
        <v>1</v>
      </c>
      <c r="K73" t="str">
        <f>_xlfn.XLOOKUP(Table2[[#This Row],[Row]],Table1[Row],Table1[StartSide],0)</f>
        <v>R</v>
      </c>
      <c r="L73" t="str">
        <f t="shared" si="7"/>
        <v>L</v>
      </c>
      <c r="M73" t="str">
        <f t="shared" si="8"/>
        <v>PS1_A06_1_L</v>
      </c>
    </row>
    <row r="74" spans="1:13" x14ac:dyDescent="0.25">
      <c r="A74" t="s">
        <v>81</v>
      </c>
      <c r="B74" t="s">
        <v>749</v>
      </c>
      <c r="C74" t="s">
        <v>758</v>
      </c>
      <c r="D74">
        <v>1</v>
      </c>
      <c r="E74" t="s">
        <v>752</v>
      </c>
      <c r="F74" t="s">
        <v>779</v>
      </c>
      <c r="G74" t="str">
        <f t="shared" si="9"/>
        <v>A</v>
      </c>
      <c r="H74">
        <f>_xlfn.XLOOKUP(Table2[[#This Row],[Zone]],Table1[Row],Table1[Max Bay],_xleta.NA,0)</f>
        <v>12</v>
      </c>
      <c r="I74" s="1" t="str">
        <f t="shared" si="5"/>
        <v>06</v>
      </c>
      <c r="J74">
        <f t="shared" si="6"/>
        <v>1</v>
      </c>
      <c r="K74" t="str">
        <f>_xlfn.XLOOKUP(Table2[[#This Row],[Row]],Table1[Row],Table1[StartSide],0)</f>
        <v>R</v>
      </c>
      <c r="L74" t="str">
        <f t="shared" si="7"/>
        <v>R</v>
      </c>
      <c r="M74" t="str">
        <f t="shared" si="8"/>
        <v>PS1_A06_1_R</v>
      </c>
    </row>
    <row r="75" spans="1:13" x14ac:dyDescent="0.25">
      <c r="A75" t="s">
        <v>82</v>
      </c>
      <c r="B75" t="s">
        <v>749</v>
      </c>
      <c r="C75" t="s">
        <v>758</v>
      </c>
      <c r="D75">
        <v>2</v>
      </c>
      <c r="E75" t="s">
        <v>751</v>
      </c>
      <c r="F75" t="s">
        <v>779</v>
      </c>
      <c r="G75" t="str">
        <f t="shared" si="9"/>
        <v>A</v>
      </c>
      <c r="H75">
        <f>_xlfn.XLOOKUP(Table2[[#This Row],[Zone]],Table1[Row],Table1[Max Bay],_xleta.NA,0)</f>
        <v>12</v>
      </c>
      <c r="I75" s="1" t="str">
        <f t="shared" si="5"/>
        <v>06</v>
      </c>
      <c r="J75">
        <f t="shared" si="6"/>
        <v>2</v>
      </c>
      <c r="K75" t="str">
        <f>_xlfn.XLOOKUP(Table2[[#This Row],[Row]],Table1[Row],Table1[StartSide],0)</f>
        <v>R</v>
      </c>
      <c r="L75" t="str">
        <f t="shared" si="7"/>
        <v>L</v>
      </c>
      <c r="M75" t="str">
        <f t="shared" si="8"/>
        <v>PS1_A06_2_L</v>
      </c>
    </row>
    <row r="76" spans="1:13" x14ac:dyDescent="0.25">
      <c r="A76" t="s">
        <v>83</v>
      </c>
      <c r="B76" t="s">
        <v>749</v>
      </c>
      <c r="C76" t="s">
        <v>758</v>
      </c>
      <c r="D76">
        <v>2</v>
      </c>
      <c r="E76" t="s">
        <v>752</v>
      </c>
      <c r="F76" t="s">
        <v>779</v>
      </c>
      <c r="G76" t="str">
        <f t="shared" si="9"/>
        <v>A</v>
      </c>
      <c r="H76">
        <f>_xlfn.XLOOKUP(Table2[[#This Row],[Zone]],Table1[Row],Table1[Max Bay],_xleta.NA,0)</f>
        <v>12</v>
      </c>
      <c r="I76" s="1" t="str">
        <f t="shared" si="5"/>
        <v>06</v>
      </c>
      <c r="J76">
        <f t="shared" si="6"/>
        <v>2</v>
      </c>
      <c r="K76" t="str">
        <f>_xlfn.XLOOKUP(Table2[[#This Row],[Row]],Table1[Row],Table1[StartSide],0)</f>
        <v>R</v>
      </c>
      <c r="L76" t="str">
        <f t="shared" si="7"/>
        <v>R</v>
      </c>
      <c r="M76" t="str">
        <f t="shared" si="8"/>
        <v>PS1_A06_2_R</v>
      </c>
    </row>
    <row r="77" spans="1:13" x14ac:dyDescent="0.25">
      <c r="A77" t="s">
        <v>84</v>
      </c>
      <c r="B77" t="s">
        <v>749</v>
      </c>
      <c r="C77" t="s">
        <v>758</v>
      </c>
      <c r="D77">
        <v>3</v>
      </c>
      <c r="E77" t="s">
        <v>751</v>
      </c>
      <c r="F77" t="s">
        <v>779</v>
      </c>
      <c r="G77" t="str">
        <f t="shared" si="9"/>
        <v>A</v>
      </c>
      <c r="H77">
        <f>_xlfn.XLOOKUP(Table2[[#This Row],[Zone]],Table1[Row],Table1[Max Bay],_xleta.NA,0)</f>
        <v>12</v>
      </c>
      <c r="I77" s="1" t="str">
        <f t="shared" si="5"/>
        <v>06</v>
      </c>
      <c r="J77">
        <f t="shared" si="6"/>
        <v>3</v>
      </c>
      <c r="K77" t="str">
        <f>_xlfn.XLOOKUP(Table2[[#This Row],[Row]],Table1[Row],Table1[StartSide],0)</f>
        <v>R</v>
      </c>
      <c r="L77" t="str">
        <f t="shared" si="7"/>
        <v>L</v>
      </c>
      <c r="M77" t="str">
        <f t="shared" si="8"/>
        <v>PS1_A06_3_L</v>
      </c>
    </row>
    <row r="78" spans="1:13" x14ac:dyDescent="0.25">
      <c r="A78" t="s">
        <v>85</v>
      </c>
      <c r="B78" t="s">
        <v>749</v>
      </c>
      <c r="C78" t="s">
        <v>758</v>
      </c>
      <c r="D78">
        <v>3</v>
      </c>
      <c r="E78" t="s">
        <v>752</v>
      </c>
      <c r="F78" t="s">
        <v>779</v>
      </c>
      <c r="G78" t="str">
        <f t="shared" si="9"/>
        <v>A</v>
      </c>
      <c r="H78">
        <f>_xlfn.XLOOKUP(Table2[[#This Row],[Zone]],Table1[Row],Table1[Max Bay],_xleta.NA,0)</f>
        <v>12</v>
      </c>
      <c r="I78" s="1" t="str">
        <f t="shared" si="5"/>
        <v>06</v>
      </c>
      <c r="J78">
        <f t="shared" si="6"/>
        <v>3</v>
      </c>
      <c r="K78" t="str">
        <f>_xlfn.XLOOKUP(Table2[[#This Row],[Row]],Table1[Row],Table1[StartSide],0)</f>
        <v>R</v>
      </c>
      <c r="L78" t="str">
        <f t="shared" si="7"/>
        <v>R</v>
      </c>
      <c r="M78" t="str">
        <f t="shared" si="8"/>
        <v>PS1_A06_3_R</v>
      </c>
    </row>
    <row r="79" spans="1:13" x14ac:dyDescent="0.25">
      <c r="A79" t="s">
        <v>86</v>
      </c>
      <c r="B79" t="s">
        <v>749</v>
      </c>
      <c r="C79" t="s">
        <v>758</v>
      </c>
      <c r="D79">
        <v>4</v>
      </c>
      <c r="E79" t="s">
        <v>751</v>
      </c>
      <c r="F79" t="s">
        <v>779</v>
      </c>
      <c r="G79" t="str">
        <f t="shared" si="9"/>
        <v>A</v>
      </c>
      <c r="H79">
        <f>_xlfn.XLOOKUP(Table2[[#This Row],[Zone]],Table1[Row],Table1[Max Bay],_xleta.NA,0)</f>
        <v>12</v>
      </c>
      <c r="I79" s="1" t="str">
        <f t="shared" si="5"/>
        <v>06</v>
      </c>
      <c r="J79">
        <f t="shared" si="6"/>
        <v>4</v>
      </c>
      <c r="K79" t="str">
        <f>_xlfn.XLOOKUP(Table2[[#This Row],[Row]],Table1[Row],Table1[StartSide],0)</f>
        <v>R</v>
      </c>
      <c r="L79" t="str">
        <f t="shared" si="7"/>
        <v>L</v>
      </c>
      <c r="M79" t="str">
        <f t="shared" si="8"/>
        <v>PS1_A06_4_L</v>
      </c>
    </row>
    <row r="80" spans="1:13" x14ac:dyDescent="0.25">
      <c r="A80" t="s">
        <v>87</v>
      </c>
      <c r="B80" t="s">
        <v>749</v>
      </c>
      <c r="C80" t="s">
        <v>758</v>
      </c>
      <c r="D80">
        <v>4</v>
      </c>
      <c r="E80" t="s">
        <v>752</v>
      </c>
      <c r="F80" t="s">
        <v>779</v>
      </c>
      <c r="G80" t="str">
        <f t="shared" si="9"/>
        <v>A</v>
      </c>
      <c r="H80">
        <f>_xlfn.XLOOKUP(Table2[[#This Row],[Zone]],Table1[Row],Table1[Max Bay],_xleta.NA,0)</f>
        <v>12</v>
      </c>
      <c r="I80" s="1" t="str">
        <f t="shared" si="5"/>
        <v>06</v>
      </c>
      <c r="J80">
        <f t="shared" si="6"/>
        <v>4</v>
      </c>
      <c r="K80" t="str">
        <f>_xlfn.XLOOKUP(Table2[[#This Row],[Row]],Table1[Row],Table1[StartSide],0)</f>
        <v>R</v>
      </c>
      <c r="L80" t="str">
        <f t="shared" si="7"/>
        <v>R</v>
      </c>
      <c r="M80" t="str">
        <f t="shared" si="8"/>
        <v>PS1_A06_4_R</v>
      </c>
    </row>
    <row r="81" spans="1:13" x14ac:dyDescent="0.25">
      <c r="A81" t="s">
        <v>88</v>
      </c>
      <c r="B81" t="s">
        <v>749</v>
      </c>
      <c r="C81" t="s">
        <v>758</v>
      </c>
      <c r="D81">
        <v>5</v>
      </c>
      <c r="E81" t="s">
        <v>751</v>
      </c>
      <c r="F81" t="s">
        <v>779</v>
      </c>
      <c r="G81" t="str">
        <f t="shared" si="9"/>
        <v>A</v>
      </c>
      <c r="H81">
        <f>_xlfn.XLOOKUP(Table2[[#This Row],[Zone]],Table1[Row],Table1[Max Bay],_xleta.NA,0)</f>
        <v>12</v>
      </c>
      <c r="I81" s="1" t="str">
        <f t="shared" si="5"/>
        <v>06</v>
      </c>
      <c r="J81">
        <f t="shared" si="6"/>
        <v>5</v>
      </c>
      <c r="K81" t="str">
        <f>_xlfn.XLOOKUP(Table2[[#This Row],[Row]],Table1[Row],Table1[StartSide],0)</f>
        <v>R</v>
      </c>
      <c r="L81" t="str">
        <f t="shared" si="7"/>
        <v>L</v>
      </c>
      <c r="M81" t="str">
        <f t="shared" si="8"/>
        <v>PS1_A06_5_L</v>
      </c>
    </row>
    <row r="82" spans="1:13" x14ac:dyDescent="0.25">
      <c r="A82" t="s">
        <v>89</v>
      </c>
      <c r="B82" t="s">
        <v>749</v>
      </c>
      <c r="C82" t="s">
        <v>758</v>
      </c>
      <c r="D82">
        <v>5</v>
      </c>
      <c r="E82" t="s">
        <v>752</v>
      </c>
      <c r="F82" t="s">
        <v>779</v>
      </c>
      <c r="G82" t="str">
        <f t="shared" si="9"/>
        <v>A</v>
      </c>
      <c r="H82">
        <f>_xlfn.XLOOKUP(Table2[[#This Row],[Zone]],Table1[Row],Table1[Max Bay],_xleta.NA,0)</f>
        <v>12</v>
      </c>
      <c r="I82" s="1" t="str">
        <f t="shared" si="5"/>
        <v>06</v>
      </c>
      <c r="J82">
        <f t="shared" si="6"/>
        <v>5</v>
      </c>
      <c r="K82" t="str">
        <f>_xlfn.XLOOKUP(Table2[[#This Row],[Row]],Table1[Row],Table1[StartSide],0)</f>
        <v>R</v>
      </c>
      <c r="L82" t="str">
        <f t="shared" si="7"/>
        <v>R</v>
      </c>
      <c r="M82" t="str">
        <f t="shared" si="8"/>
        <v>PS1_A06_5_R</v>
      </c>
    </row>
    <row r="83" spans="1:13" x14ac:dyDescent="0.25">
      <c r="A83" t="s">
        <v>90</v>
      </c>
      <c r="B83" t="s">
        <v>749</v>
      </c>
      <c r="C83" t="s">
        <v>758</v>
      </c>
      <c r="D83">
        <v>6</v>
      </c>
      <c r="E83" t="s">
        <v>751</v>
      </c>
      <c r="F83" t="s">
        <v>779</v>
      </c>
      <c r="G83" t="str">
        <f t="shared" si="9"/>
        <v>A</v>
      </c>
      <c r="H83">
        <f>_xlfn.XLOOKUP(Table2[[#This Row],[Zone]],Table1[Row],Table1[Max Bay],_xleta.NA,0)</f>
        <v>12</v>
      </c>
      <c r="I83" s="1" t="str">
        <f t="shared" si="5"/>
        <v>06</v>
      </c>
      <c r="J83">
        <f t="shared" si="6"/>
        <v>6</v>
      </c>
      <c r="K83" t="str">
        <f>_xlfn.XLOOKUP(Table2[[#This Row],[Row]],Table1[Row],Table1[StartSide],0)</f>
        <v>R</v>
      </c>
      <c r="L83" t="str">
        <f t="shared" si="7"/>
        <v>L</v>
      </c>
      <c r="M83" t="str">
        <f t="shared" si="8"/>
        <v>PS1_A06_6_L</v>
      </c>
    </row>
    <row r="84" spans="1:13" x14ac:dyDescent="0.25">
      <c r="A84" t="s">
        <v>91</v>
      </c>
      <c r="B84" t="s">
        <v>749</v>
      </c>
      <c r="C84" t="s">
        <v>758</v>
      </c>
      <c r="D84">
        <v>6</v>
      </c>
      <c r="E84" t="s">
        <v>752</v>
      </c>
      <c r="F84" t="s">
        <v>779</v>
      </c>
      <c r="G84" t="str">
        <f t="shared" si="9"/>
        <v>A</v>
      </c>
      <c r="H84">
        <f>_xlfn.XLOOKUP(Table2[[#This Row],[Zone]],Table1[Row],Table1[Max Bay],_xleta.NA,0)</f>
        <v>12</v>
      </c>
      <c r="I84" s="1" t="str">
        <f t="shared" si="5"/>
        <v>06</v>
      </c>
      <c r="J84">
        <f t="shared" si="6"/>
        <v>6</v>
      </c>
      <c r="K84" t="str">
        <f>_xlfn.XLOOKUP(Table2[[#This Row],[Row]],Table1[Row],Table1[StartSide],0)</f>
        <v>R</v>
      </c>
      <c r="L84" t="str">
        <f t="shared" si="7"/>
        <v>R</v>
      </c>
      <c r="M84" t="str">
        <f t="shared" si="8"/>
        <v>PS1_A06_6_R</v>
      </c>
    </row>
    <row r="85" spans="1:13" x14ac:dyDescent="0.25">
      <c r="A85" t="s">
        <v>92</v>
      </c>
      <c r="B85" t="s">
        <v>749</v>
      </c>
      <c r="C85" t="s">
        <v>759</v>
      </c>
      <c r="D85">
        <v>1</v>
      </c>
      <c r="E85" t="s">
        <v>751</v>
      </c>
      <c r="F85" t="s">
        <v>779</v>
      </c>
      <c r="G85" t="str">
        <f t="shared" si="9"/>
        <v>A</v>
      </c>
      <c r="H85">
        <f>_xlfn.XLOOKUP(Table2[[#This Row],[Zone]],Table1[Row],Table1[Max Bay],_xleta.NA,0)</f>
        <v>12</v>
      </c>
      <c r="I85" s="1" t="str">
        <f t="shared" si="5"/>
        <v>05</v>
      </c>
      <c r="J85">
        <f t="shared" si="6"/>
        <v>1</v>
      </c>
      <c r="K85" t="str">
        <f>_xlfn.XLOOKUP(Table2[[#This Row],[Row]],Table1[Row],Table1[StartSide],0)</f>
        <v>R</v>
      </c>
      <c r="L85" t="str">
        <f t="shared" si="7"/>
        <v>L</v>
      </c>
      <c r="M85" t="str">
        <f t="shared" si="8"/>
        <v>PS1_A05_1_L</v>
      </c>
    </row>
    <row r="86" spans="1:13" x14ac:dyDescent="0.25">
      <c r="A86" t="s">
        <v>93</v>
      </c>
      <c r="B86" t="s">
        <v>749</v>
      </c>
      <c r="C86" t="s">
        <v>759</v>
      </c>
      <c r="D86">
        <v>1</v>
      </c>
      <c r="E86" t="s">
        <v>752</v>
      </c>
      <c r="F86" t="s">
        <v>779</v>
      </c>
      <c r="G86" t="str">
        <f t="shared" si="9"/>
        <v>A</v>
      </c>
      <c r="H86">
        <f>_xlfn.XLOOKUP(Table2[[#This Row],[Zone]],Table1[Row],Table1[Max Bay],_xleta.NA,0)</f>
        <v>12</v>
      </c>
      <c r="I86" s="1" t="str">
        <f t="shared" si="5"/>
        <v>05</v>
      </c>
      <c r="J86">
        <f t="shared" si="6"/>
        <v>1</v>
      </c>
      <c r="K86" t="str">
        <f>_xlfn.XLOOKUP(Table2[[#This Row],[Row]],Table1[Row],Table1[StartSide],0)</f>
        <v>R</v>
      </c>
      <c r="L86" t="str">
        <f t="shared" si="7"/>
        <v>R</v>
      </c>
      <c r="M86" t="str">
        <f t="shared" si="8"/>
        <v>PS1_A05_1_R</v>
      </c>
    </row>
    <row r="87" spans="1:13" x14ac:dyDescent="0.25">
      <c r="A87" t="s">
        <v>94</v>
      </c>
      <c r="B87" t="s">
        <v>749</v>
      </c>
      <c r="C87" t="s">
        <v>759</v>
      </c>
      <c r="D87">
        <v>2</v>
      </c>
      <c r="E87" t="s">
        <v>751</v>
      </c>
      <c r="F87" t="s">
        <v>779</v>
      </c>
      <c r="G87" t="str">
        <f t="shared" si="9"/>
        <v>A</v>
      </c>
      <c r="H87">
        <f>_xlfn.XLOOKUP(Table2[[#This Row],[Zone]],Table1[Row],Table1[Max Bay],_xleta.NA,0)</f>
        <v>12</v>
      </c>
      <c r="I87" s="1" t="str">
        <f t="shared" si="5"/>
        <v>05</v>
      </c>
      <c r="J87">
        <f t="shared" si="6"/>
        <v>2</v>
      </c>
      <c r="K87" t="str">
        <f>_xlfn.XLOOKUP(Table2[[#This Row],[Row]],Table1[Row],Table1[StartSide],0)</f>
        <v>R</v>
      </c>
      <c r="L87" t="str">
        <f t="shared" si="7"/>
        <v>L</v>
      </c>
      <c r="M87" t="str">
        <f t="shared" si="8"/>
        <v>PS1_A05_2_L</v>
      </c>
    </row>
    <row r="88" spans="1:13" x14ac:dyDescent="0.25">
      <c r="A88" t="s">
        <v>95</v>
      </c>
      <c r="B88" t="s">
        <v>749</v>
      </c>
      <c r="C88" t="s">
        <v>759</v>
      </c>
      <c r="D88">
        <v>2</v>
      </c>
      <c r="E88" t="s">
        <v>752</v>
      </c>
      <c r="F88" t="s">
        <v>779</v>
      </c>
      <c r="G88" t="str">
        <f t="shared" si="9"/>
        <v>A</v>
      </c>
      <c r="H88">
        <f>_xlfn.XLOOKUP(Table2[[#This Row],[Zone]],Table1[Row],Table1[Max Bay],_xleta.NA,0)</f>
        <v>12</v>
      </c>
      <c r="I88" s="1" t="str">
        <f t="shared" si="5"/>
        <v>05</v>
      </c>
      <c r="J88">
        <f t="shared" si="6"/>
        <v>2</v>
      </c>
      <c r="K88" t="str">
        <f>_xlfn.XLOOKUP(Table2[[#This Row],[Row]],Table1[Row],Table1[StartSide],0)</f>
        <v>R</v>
      </c>
      <c r="L88" t="str">
        <f t="shared" si="7"/>
        <v>R</v>
      </c>
      <c r="M88" t="str">
        <f t="shared" si="8"/>
        <v>PS1_A05_2_R</v>
      </c>
    </row>
    <row r="89" spans="1:13" x14ac:dyDescent="0.25">
      <c r="A89" t="s">
        <v>96</v>
      </c>
      <c r="B89" t="s">
        <v>749</v>
      </c>
      <c r="C89" t="s">
        <v>759</v>
      </c>
      <c r="D89">
        <v>3</v>
      </c>
      <c r="E89" t="s">
        <v>751</v>
      </c>
      <c r="F89" t="s">
        <v>779</v>
      </c>
      <c r="G89" t="str">
        <f t="shared" si="9"/>
        <v>A</v>
      </c>
      <c r="H89">
        <f>_xlfn.XLOOKUP(Table2[[#This Row],[Zone]],Table1[Row],Table1[Max Bay],_xleta.NA,0)</f>
        <v>12</v>
      </c>
      <c r="I89" s="1" t="str">
        <f t="shared" si="5"/>
        <v>05</v>
      </c>
      <c r="J89">
        <f t="shared" si="6"/>
        <v>3</v>
      </c>
      <c r="K89" t="str">
        <f>_xlfn.XLOOKUP(Table2[[#This Row],[Row]],Table1[Row],Table1[StartSide],0)</f>
        <v>R</v>
      </c>
      <c r="L89" t="str">
        <f t="shared" si="7"/>
        <v>L</v>
      </c>
      <c r="M89" t="str">
        <f t="shared" si="8"/>
        <v>PS1_A05_3_L</v>
      </c>
    </row>
    <row r="90" spans="1:13" x14ac:dyDescent="0.25">
      <c r="A90" t="s">
        <v>97</v>
      </c>
      <c r="B90" t="s">
        <v>749</v>
      </c>
      <c r="C90" t="s">
        <v>759</v>
      </c>
      <c r="D90">
        <v>3</v>
      </c>
      <c r="E90" t="s">
        <v>752</v>
      </c>
      <c r="F90" t="s">
        <v>779</v>
      </c>
      <c r="G90" t="str">
        <f t="shared" si="9"/>
        <v>A</v>
      </c>
      <c r="H90">
        <f>_xlfn.XLOOKUP(Table2[[#This Row],[Zone]],Table1[Row],Table1[Max Bay],_xleta.NA,0)</f>
        <v>12</v>
      </c>
      <c r="I90" s="1" t="str">
        <f t="shared" si="5"/>
        <v>05</v>
      </c>
      <c r="J90">
        <f t="shared" si="6"/>
        <v>3</v>
      </c>
      <c r="K90" t="str">
        <f>_xlfn.XLOOKUP(Table2[[#This Row],[Row]],Table1[Row],Table1[StartSide],0)</f>
        <v>R</v>
      </c>
      <c r="L90" t="str">
        <f t="shared" si="7"/>
        <v>R</v>
      </c>
      <c r="M90" t="str">
        <f t="shared" si="8"/>
        <v>PS1_A05_3_R</v>
      </c>
    </row>
    <row r="91" spans="1:13" x14ac:dyDescent="0.25">
      <c r="A91" t="s">
        <v>98</v>
      </c>
      <c r="B91" t="s">
        <v>749</v>
      </c>
      <c r="C91" t="s">
        <v>759</v>
      </c>
      <c r="D91">
        <v>4</v>
      </c>
      <c r="E91" t="s">
        <v>751</v>
      </c>
      <c r="F91" t="s">
        <v>779</v>
      </c>
      <c r="G91" t="str">
        <f t="shared" si="9"/>
        <v>A</v>
      </c>
      <c r="H91">
        <f>_xlfn.XLOOKUP(Table2[[#This Row],[Zone]],Table1[Row],Table1[Max Bay],_xleta.NA,0)</f>
        <v>12</v>
      </c>
      <c r="I91" s="1" t="str">
        <f t="shared" si="5"/>
        <v>05</v>
      </c>
      <c r="J91">
        <f t="shared" si="6"/>
        <v>4</v>
      </c>
      <c r="K91" t="str">
        <f>_xlfn.XLOOKUP(Table2[[#This Row],[Row]],Table1[Row],Table1[StartSide],0)</f>
        <v>R</v>
      </c>
      <c r="L91" t="str">
        <f t="shared" si="7"/>
        <v>L</v>
      </c>
      <c r="M91" t="str">
        <f t="shared" si="8"/>
        <v>PS1_A05_4_L</v>
      </c>
    </row>
    <row r="92" spans="1:13" x14ac:dyDescent="0.25">
      <c r="A92" t="s">
        <v>99</v>
      </c>
      <c r="B92" t="s">
        <v>749</v>
      </c>
      <c r="C92" t="s">
        <v>759</v>
      </c>
      <c r="D92">
        <v>4</v>
      </c>
      <c r="E92" t="s">
        <v>752</v>
      </c>
      <c r="F92" t="s">
        <v>779</v>
      </c>
      <c r="G92" t="str">
        <f t="shared" si="9"/>
        <v>A</v>
      </c>
      <c r="H92">
        <f>_xlfn.XLOOKUP(Table2[[#This Row],[Zone]],Table1[Row],Table1[Max Bay],_xleta.NA,0)</f>
        <v>12</v>
      </c>
      <c r="I92" s="1" t="str">
        <f t="shared" si="5"/>
        <v>05</v>
      </c>
      <c r="J92">
        <f t="shared" si="6"/>
        <v>4</v>
      </c>
      <c r="K92" t="str">
        <f>_xlfn.XLOOKUP(Table2[[#This Row],[Row]],Table1[Row],Table1[StartSide],0)</f>
        <v>R</v>
      </c>
      <c r="L92" t="str">
        <f t="shared" si="7"/>
        <v>R</v>
      </c>
      <c r="M92" t="str">
        <f t="shared" si="8"/>
        <v>PS1_A05_4_R</v>
      </c>
    </row>
    <row r="93" spans="1:13" x14ac:dyDescent="0.25">
      <c r="A93" t="s">
        <v>100</v>
      </c>
      <c r="B93" t="s">
        <v>749</v>
      </c>
      <c r="C93" t="s">
        <v>759</v>
      </c>
      <c r="D93">
        <v>5</v>
      </c>
      <c r="E93" t="s">
        <v>751</v>
      </c>
      <c r="F93" t="s">
        <v>779</v>
      </c>
      <c r="G93" t="str">
        <f t="shared" si="9"/>
        <v>A</v>
      </c>
      <c r="H93">
        <f>_xlfn.XLOOKUP(Table2[[#This Row],[Zone]],Table1[Row],Table1[Max Bay],_xleta.NA,0)</f>
        <v>12</v>
      </c>
      <c r="I93" s="1" t="str">
        <f t="shared" si="5"/>
        <v>05</v>
      </c>
      <c r="J93">
        <f t="shared" si="6"/>
        <v>5</v>
      </c>
      <c r="K93" t="str">
        <f>_xlfn.XLOOKUP(Table2[[#This Row],[Row]],Table1[Row],Table1[StartSide],0)</f>
        <v>R</v>
      </c>
      <c r="L93" t="str">
        <f t="shared" si="7"/>
        <v>L</v>
      </c>
      <c r="M93" t="str">
        <f t="shared" si="8"/>
        <v>PS1_A05_5_L</v>
      </c>
    </row>
    <row r="94" spans="1:13" x14ac:dyDescent="0.25">
      <c r="A94" t="s">
        <v>101</v>
      </c>
      <c r="B94" t="s">
        <v>749</v>
      </c>
      <c r="C94" t="s">
        <v>759</v>
      </c>
      <c r="D94">
        <v>5</v>
      </c>
      <c r="E94" t="s">
        <v>752</v>
      </c>
      <c r="F94" t="s">
        <v>779</v>
      </c>
      <c r="G94" t="str">
        <f t="shared" si="9"/>
        <v>A</v>
      </c>
      <c r="H94">
        <f>_xlfn.XLOOKUP(Table2[[#This Row],[Zone]],Table1[Row],Table1[Max Bay],_xleta.NA,0)</f>
        <v>12</v>
      </c>
      <c r="I94" s="1" t="str">
        <f t="shared" si="5"/>
        <v>05</v>
      </c>
      <c r="J94">
        <f t="shared" si="6"/>
        <v>5</v>
      </c>
      <c r="K94" t="str">
        <f>_xlfn.XLOOKUP(Table2[[#This Row],[Row]],Table1[Row],Table1[StartSide],0)</f>
        <v>R</v>
      </c>
      <c r="L94" t="str">
        <f t="shared" si="7"/>
        <v>R</v>
      </c>
      <c r="M94" t="str">
        <f t="shared" si="8"/>
        <v>PS1_A05_5_R</v>
      </c>
    </row>
    <row r="95" spans="1:13" x14ac:dyDescent="0.25">
      <c r="A95" t="s">
        <v>102</v>
      </c>
      <c r="B95" t="s">
        <v>749</v>
      </c>
      <c r="C95" t="s">
        <v>759</v>
      </c>
      <c r="D95">
        <v>6</v>
      </c>
      <c r="E95" t="s">
        <v>751</v>
      </c>
      <c r="F95" t="s">
        <v>779</v>
      </c>
      <c r="G95" t="str">
        <f t="shared" si="9"/>
        <v>A</v>
      </c>
      <c r="H95">
        <f>_xlfn.XLOOKUP(Table2[[#This Row],[Zone]],Table1[Row],Table1[Max Bay],_xleta.NA,0)</f>
        <v>12</v>
      </c>
      <c r="I95" s="1" t="str">
        <f t="shared" si="5"/>
        <v>05</v>
      </c>
      <c r="J95">
        <f t="shared" si="6"/>
        <v>6</v>
      </c>
      <c r="K95" t="str">
        <f>_xlfn.XLOOKUP(Table2[[#This Row],[Row]],Table1[Row],Table1[StartSide],0)</f>
        <v>R</v>
      </c>
      <c r="L95" t="str">
        <f t="shared" si="7"/>
        <v>L</v>
      </c>
      <c r="M95" t="str">
        <f t="shared" si="8"/>
        <v>PS1_A05_6_L</v>
      </c>
    </row>
    <row r="96" spans="1:13" x14ac:dyDescent="0.25">
      <c r="A96" t="s">
        <v>103</v>
      </c>
      <c r="B96" t="s">
        <v>749</v>
      </c>
      <c r="C96" t="s">
        <v>759</v>
      </c>
      <c r="D96">
        <v>6</v>
      </c>
      <c r="E96" t="s">
        <v>752</v>
      </c>
      <c r="F96" t="s">
        <v>779</v>
      </c>
      <c r="G96" t="str">
        <f t="shared" si="9"/>
        <v>A</v>
      </c>
      <c r="H96">
        <f>_xlfn.XLOOKUP(Table2[[#This Row],[Zone]],Table1[Row],Table1[Max Bay],_xleta.NA,0)</f>
        <v>12</v>
      </c>
      <c r="I96" s="1" t="str">
        <f t="shared" si="5"/>
        <v>05</v>
      </c>
      <c r="J96">
        <f t="shared" si="6"/>
        <v>6</v>
      </c>
      <c r="K96" t="str">
        <f>_xlfn.XLOOKUP(Table2[[#This Row],[Row]],Table1[Row],Table1[StartSide],0)</f>
        <v>R</v>
      </c>
      <c r="L96" t="str">
        <f t="shared" si="7"/>
        <v>R</v>
      </c>
      <c r="M96" t="str">
        <f t="shared" si="8"/>
        <v>PS1_A05_6_R</v>
      </c>
    </row>
    <row r="97" spans="1:13" x14ac:dyDescent="0.25">
      <c r="A97" t="s">
        <v>104</v>
      </c>
      <c r="B97" t="s">
        <v>749</v>
      </c>
      <c r="C97" t="s">
        <v>760</v>
      </c>
      <c r="D97">
        <v>1</v>
      </c>
      <c r="E97" t="s">
        <v>751</v>
      </c>
      <c r="F97" t="s">
        <v>779</v>
      </c>
      <c r="G97" t="str">
        <f t="shared" si="9"/>
        <v>A</v>
      </c>
      <c r="H97">
        <f>_xlfn.XLOOKUP(Table2[[#This Row],[Zone]],Table1[Row],Table1[Max Bay],_xleta.NA,0)</f>
        <v>12</v>
      </c>
      <c r="I97" s="1" t="str">
        <f t="shared" si="5"/>
        <v>04</v>
      </c>
      <c r="J97">
        <f t="shared" si="6"/>
        <v>1</v>
      </c>
      <c r="K97" t="str">
        <f>_xlfn.XLOOKUP(Table2[[#This Row],[Row]],Table1[Row],Table1[StartSide],0)</f>
        <v>R</v>
      </c>
      <c r="L97" t="str">
        <f t="shared" si="7"/>
        <v>L</v>
      </c>
      <c r="M97" t="str">
        <f t="shared" si="8"/>
        <v>PS1_A04_1_L</v>
      </c>
    </row>
    <row r="98" spans="1:13" x14ac:dyDescent="0.25">
      <c r="A98" t="s">
        <v>105</v>
      </c>
      <c r="B98" t="s">
        <v>749</v>
      </c>
      <c r="C98" t="s">
        <v>760</v>
      </c>
      <c r="D98">
        <v>1</v>
      </c>
      <c r="E98" t="s">
        <v>752</v>
      </c>
      <c r="F98" t="s">
        <v>779</v>
      </c>
      <c r="G98" t="str">
        <f t="shared" si="9"/>
        <v>A</v>
      </c>
      <c r="H98">
        <f>_xlfn.XLOOKUP(Table2[[#This Row],[Zone]],Table1[Row],Table1[Max Bay],_xleta.NA,0)</f>
        <v>12</v>
      </c>
      <c r="I98" s="1" t="str">
        <f t="shared" si="5"/>
        <v>04</v>
      </c>
      <c r="J98">
        <f t="shared" si="6"/>
        <v>1</v>
      </c>
      <c r="K98" t="str">
        <f>_xlfn.XLOOKUP(Table2[[#This Row],[Row]],Table1[Row],Table1[StartSide],0)</f>
        <v>R</v>
      </c>
      <c r="L98" t="str">
        <f t="shared" si="7"/>
        <v>R</v>
      </c>
      <c r="M98" t="str">
        <f t="shared" si="8"/>
        <v>PS1_A04_1_R</v>
      </c>
    </row>
    <row r="99" spans="1:13" x14ac:dyDescent="0.25">
      <c r="A99" t="s">
        <v>106</v>
      </c>
      <c r="B99" t="s">
        <v>749</v>
      </c>
      <c r="C99" t="s">
        <v>760</v>
      </c>
      <c r="D99">
        <v>2</v>
      </c>
      <c r="E99" t="s">
        <v>751</v>
      </c>
      <c r="F99" t="s">
        <v>779</v>
      </c>
      <c r="G99" t="str">
        <f t="shared" si="9"/>
        <v>A</v>
      </c>
      <c r="H99">
        <f>_xlfn.XLOOKUP(Table2[[#This Row],[Zone]],Table1[Row],Table1[Max Bay],_xleta.NA,0)</f>
        <v>12</v>
      </c>
      <c r="I99" s="1" t="str">
        <f t="shared" si="5"/>
        <v>04</v>
      </c>
      <c r="J99">
        <f t="shared" si="6"/>
        <v>2</v>
      </c>
      <c r="K99" t="str">
        <f>_xlfn.XLOOKUP(Table2[[#This Row],[Row]],Table1[Row],Table1[StartSide],0)</f>
        <v>R</v>
      </c>
      <c r="L99" t="str">
        <f t="shared" si="7"/>
        <v>L</v>
      </c>
      <c r="M99" t="str">
        <f t="shared" si="8"/>
        <v>PS1_A04_2_L</v>
      </c>
    </row>
    <row r="100" spans="1:13" x14ac:dyDescent="0.25">
      <c r="A100" t="s">
        <v>107</v>
      </c>
      <c r="B100" t="s">
        <v>749</v>
      </c>
      <c r="C100" t="s">
        <v>760</v>
      </c>
      <c r="D100">
        <v>2</v>
      </c>
      <c r="E100" t="s">
        <v>752</v>
      </c>
      <c r="F100" t="s">
        <v>779</v>
      </c>
      <c r="G100" t="str">
        <f t="shared" si="9"/>
        <v>A</v>
      </c>
      <c r="H100">
        <f>_xlfn.XLOOKUP(Table2[[#This Row],[Zone]],Table1[Row],Table1[Max Bay],_xleta.NA,0)</f>
        <v>12</v>
      </c>
      <c r="I100" s="1" t="str">
        <f t="shared" si="5"/>
        <v>04</v>
      </c>
      <c r="J100">
        <f t="shared" si="6"/>
        <v>2</v>
      </c>
      <c r="K100" t="str">
        <f>_xlfn.XLOOKUP(Table2[[#This Row],[Row]],Table1[Row],Table1[StartSide],0)</f>
        <v>R</v>
      </c>
      <c r="L100" t="str">
        <f t="shared" si="7"/>
        <v>R</v>
      </c>
      <c r="M100" t="str">
        <f t="shared" si="8"/>
        <v>PS1_A04_2_R</v>
      </c>
    </row>
    <row r="101" spans="1:13" x14ac:dyDescent="0.25">
      <c r="A101" t="s">
        <v>108</v>
      </c>
      <c r="B101" t="s">
        <v>749</v>
      </c>
      <c r="C101" t="s">
        <v>760</v>
      </c>
      <c r="D101">
        <v>3</v>
      </c>
      <c r="E101" t="s">
        <v>751</v>
      </c>
      <c r="F101" t="s">
        <v>779</v>
      </c>
      <c r="G101" t="str">
        <f t="shared" si="9"/>
        <v>A</v>
      </c>
      <c r="H101">
        <f>_xlfn.XLOOKUP(Table2[[#This Row],[Zone]],Table1[Row],Table1[Max Bay],_xleta.NA,0)</f>
        <v>12</v>
      </c>
      <c r="I101" s="1" t="str">
        <f t="shared" si="5"/>
        <v>04</v>
      </c>
      <c r="J101">
        <f t="shared" si="6"/>
        <v>3</v>
      </c>
      <c r="K101" t="str">
        <f>_xlfn.XLOOKUP(Table2[[#This Row],[Row]],Table1[Row],Table1[StartSide],0)</f>
        <v>R</v>
      </c>
      <c r="L101" t="str">
        <f t="shared" si="7"/>
        <v>L</v>
      </c>
      <c r="M101" t="str">
        <f t="shared" si="8"/>
        <v>PS1_A04_3_L</v>
      </c>
    </row>
    <row r="102" spans="1:13" x14ac:dyDescent="0.25">
      <c r="A102" t="s">
        <v>109</v>
      </c>
      <c r="B102" t="s">
        <v>749</v>
      </c>
      <c r="C102" t="s">
        <v>760</v>
      </c>
      <c r="D102">
        <v>3</v>
      </c>
      <c r="E102" t="s">
        <v>752</v>
      </c>
      <c r="F102" t="s">
        <v>779</v>
      </c>
      <c r="G102" t="str">
        <f t="shared" si="9"/>
        <v>A</v>
      </c>
      <c r="H102">
        <f>_xlfn.XLOOKUP(Table2[[#This Row],[Zone]],Table1[Row],Table1[Max Bay],_xleta.NA,0)</f>
        <v>12</v>
      </c>
      <c r="I102" s="1" t="str">
        <f t="shared" si="5"/>
        <v>04</v>
      </c>
      <c r="J102">
        <f t="shared" si="6"/>
        <v>3</v>
      </c>
      <c r="K102" t="str">
        <f>_xlfn.XLOOKUP(Table2[[#This Row],[Row]],Table1[Row],Table1[StartSide],0)</f>
        <v>R</v>
      </c>
      <c r="L102" t="str">
        <f t="shared" si="7"/>
        <v>R</v>
      </c>
      <c r="M102" t="str">
        <f t="shared" si="8"/>
        <v>PS1_A04_3_R</v>
      </c>
    </row>
    <row r="103" spans="1:13" x14ac:dyDescent="0.25">
      <c r="A103" t="s">
        <v>110</v>
      </c>
      <c r="B103" t="s">
        <v>749</v>
      </c>
      <c r="C103" t="s">
        <v>760</v>
      </c>
      <c r="D103">
        <v>4</v>
      </c>
      <c r="E103" t="s">
        <v>751</v>
      </c>
      <c r="F103" t="s">
        <v>779</v>
      </c>
      <c r="G103" t="str">
        <f t="shared" si="9"/>
        <v>A</v>
      </c>
      <c r="H103">
        <f>_xlfn.XLOOKUP(Table2[[#This Row],[Zone]],Table1[Row],Table1[Max Bay],_xleta.NA,0)</f>
        <v>12</v>
      </c>
      <c r="I103" s="1" t="str">
        <f t="shared" si="5"/>
        <v>04</v>
      </c>
      <c r="J103">
        <f t="shared" si="6"/>
        <v>4</v>
      </c>
      <c r="K103" t="str">
        <f>_xlfn.XLOOKUP(Table2[[#This Row],[Row]],Table1[Row],Table1[StartSide],0)</f>
        <v>R</v>
      </c>
      <c r="L103" t="str">
        <f t="shared" si="7"/>
        <v>L</v>
      </c>
      <c r="M103" t="str">
        <f t="shared" si="8"/>
        <v>PS1_A04_4_L</v>
      </c>
    </row>
    <row r="104" spans="1:13" x14ac:dyDescent="0.25">
      <c r="A104" t="s">
        <v>111</v>
      </c>
      <c r="B104" t="s">
        <v>749</v>
      </c>
      <c r="C104" t="s">
        <v>760</v>
      </c>
      <c r="D104">
        <v>4</v>
      </c>
      <c r="E104" t="s">
        <v>752</v>
      </c>
      <c r="F104" t="s">
        <v>779</v>
      </c>
      <c r="G104" t="str">
        <f t="shared" si="9"/>
        <v>A</v>
      </c>
      <c r="H104">
        <f>_xlfn.XLOOKUP(Table2[[#This Row],[Zone]],Table1[Row],Table1[Max Bay],_xleta.NA,0)</f>
        <v>12</v>
      </c>
      <c r="I104" s="1" t="str">
        <f t="shared" si="5"/>
        <v>04</v>
      </c>
      <c r="J104">
        <f t="shared" si="6"/>
        <v>4</v>
      </c>
      <c r="K104" t="str">
        <f>_xlfn.XLOOKUP(Table2[[#This Row],[Row]],Table1[Row],Table1[StartSide],0)</f>
        <v>R</v>
      </c>
      <c r="L104" t="str">
        <f t="shared" si="7"/>
        <v>R</v>
      </c>
      <c r="M104" t="str">
        <f t="shared" si="8"/>
        <v>PS1_A04_4_R</v>
      </c>
    </row>
    <row r="105" spans="1:13" x14ac:dyDescent="0.25">
      <c r="A105" t="s">
        <v>112</v>
      </c>
      <c r="B105" t="s">
        <v>749</v>
      </c>
      <c r="C105" t="s">
        <v>760</v>
      </c>
      <c r="D105">
        <v>5</v>
      </c>
      <c r="E105" t="s">
        <v>751</v>
      </c>
      <c r="F105" t="s">
        <v>779</v>
      </c>
      <c r="G105" t="str">
        <f t="shared" si="9"/>
        <v>A</v>
      </c>
      <c r="H105">
        <f>_xlfn.XLOOKUP(Table2[[#This Row],[Zone]],Table1[Row],Table1[Max Bay],_xleta.NA,0)</f>
        <v>12</v>
      </c>
      <c r="I105" s="1" t="str">
        <f t="shared" si="5"/>
        <v>04</v>
      </c>
      <c r="J105">
        <f t="shared" si="6"/>
        <v>5</v>
      </c>
      <c r="K105" t="str">
        <f>_xlfn.XLOOKUP(Table2[[#This Row],[Row]],Table1[Row],Table1[StartSide],0)</f>
        <v>R</v>
      </c>
      <c r="L105" t="str">
        <f t="shared" si="7"/>
        <v>L</v>
      </c>
      <c r="M105" t="str">
        <f t="shared" si="8"/>
        <v>PS1_A04_5_L</v>
      </c>
    </row>
    <row r="106" spans="1:13" x14ac:dyDescent="0.25">
      <c r="A106" t="s">
        <v>113</v>
      </c>
      <c r="B106" t="s">
        <v>749</v>
      </c>
      <c r="C106" t="s">
        <v>760</v>
      </c>
      <c r="D106">
        <v>5</v>
      </c>
      <c r="E106" t="s">
        <v>752</v>
      </c>
      <c r="F106" t="s">
        <v>779</v>
      </c>
      <c r="G106" t="str">
        <f t="shared" si="9"/>
        <v>A</v>
      </c>
      <c r="H106">
        <f>_xlfn.XLOOKUP(Table2[[#This Row],[Zone]],Table1[Row],Table1[Max Bay],_xleta.NA,0)</f>
        <v>12</v>
      </c>
      <c r="I106" s="1" t="str">
        <f t="shared" si="5"/>
        <v>04</v>
      </c>
      <c r="J106">
        <f t="shared" si="6"/>
        <v>5</v>
      </c>
      <c r="K106" t="str">
        <f>_xlfn.XLOOKUP(Table2[[#This Row],[Row]],Table1[Row],Table1[StartSide],0)</f>
        <v>R</v>
      </c>
      <c r="L106" t="str">
        <f t="shared" si="7"/>
        <v>R</v>
      </c>
      <c r="M106" t="str">
        <f t="shared" si="8"/>
        <v>PS1_A04_5_R</v>
      </c>
    </row>
    <row r="107" spans="1:13" x14ac:dyDescent="0.25">
      <c r="A107" t="s">
        <v>114</v>
      </c>
      <c r="B107" t="s">
        <v>749</v>
      </c>
      <c r="C107" t="s">
        <v>760</v>
      </c>
      <c r="D107">
        <v>6</v>
      </c>
      <c r="E107" t="s">
        <v>751</v>
      </c>
      <c r="F107" t="s">
        <v>779</v>
      </c>
      <c r="G107" t="str">
        <f t="shared" si="9"/>
        <v>A</v>
      </c>
      <c r="H107">
        <f>_xlfn.XLOOKUP(Table2[[#This Row],[Zone]],Table1[Row],Table1[Max Bay],_xleta.NA,0)</f>
        <v>12</v>
      </c>
      <c r="I107" s="1" t="str">
        <f t="shared" si="5"/>
        <v>04</v>
      </c>
      <c r="J107">
        <f t="shared" si="6"/>
        <v>6</v>
      </c>
      <c r="K107" t="str">
        <f>_xlfn.XLOOKUP(Table2[[#This Row],[Row]],Table1[Row],Table1[StartSide],0)</f>
        <v>R</v>
      </c>
      <c r="L107" t="str">
        <f t="shared" si="7"/>
        <v>L</v>
      </c>
      <c r="M107" t="str">
        <f t="shared" si="8"/>
        <v>PS1_A04_6_L</v>
      </c>
    </row>
    <row r="108" spans="1:13" x14ac:dyDescent="0.25">
      <c r="A108" t="s">
        <v>115</v>
      </c>
      <c r="B108" t="s">
        <v>749</v>
      </c>
      <c r="C108" t="s">
        <v>760</v>
      </c>
      <c r="D108">
        <v>6</v>
      </c>
      <c r="E108" t="s">
        <v>752</v>
      </c>
      <c r="F108" t="s">
        <v>779</v>
      </c>
      <c r="G108" t="str">
        <f t="shared" si="9"/>
        <v>A</v>
      </c>
      <c r="H108">
        <f>_xlfn.XLOOKUP(Table2[[#This Row],[Zone]],Table1[Row],Table1[Max Bay],_xleta.NA,0)</f>
        <v>12</v>
      </c>
      <c r="I108" s="1" t="str">
        <f t="shared" si="5"/>
        <v>04</v>
      </c>
      <c r="J108">
        <f t="shared" si="6"/>
        <v>6</v>
      </c>
      <c r="K108" t="str">
        <f>_xlfn.XLOOKUP(Table2[[#This Row],[Row]],Table1[Row],Table1[StartSide],0)</f>
        <v>R</v>
      </c>
      <c r="L108" t="str">
        <f t="shared" si="7"/>
        <v>R</v>
      </c>
      <c r="M108" t="str">
        <f t="shared" si="8"/>
        <v>PS1_A04_6_R</v>
      </c>
    </row>
    <row r="109" spans="1:13" x14ac:dyDescent="0.25">
      <c r="A109" t="s">
        <v>116</v>
      </c>
      <c r="B109" t="s">
        <v>749</v>
      </c>
      <c r="C109" t="s">
        <v>761</v>
      </c>
      <c r="D109">
        <v>1</v>
      </c>
      <c r="E109" t="s">
        <v>751</v>
      </c>
      <c r="F109" t="s">
        <v>779</v>
      </c>
      <c r="G109" t="str">
        <f t="shared" si="9"/>
        <v>A</v>
      </c>
      <c r="H109">
        <f>_xlfn.XLOOKUP(Table2[[#This Row],[Zone]],Table1[Row],Table1[Max Bay],_xleta.NA,0)</f>
        <v>12</v>
      </c>
      <c r="I109" s="1" t="str">
        <f t="shared" si="5"/>
        <v>03</v>
      </c>
      <c r="J109">
        <f t="shared" si="6"/>
        <v>1</v>
      </c>
      <c r="K109" t="str">
        <f>_xlfn.XLOOKUP(Table2[[#This Row],[Row]],Table1[Row],Table1[StartSide],0)</f>
        <v>R</v>
      </c>
      <c r="L109" t="str">
        <f t="shared" si="7"/>
        <v>L</v>
      </c>
      <c r="M109" t="str">
        <f t="shared" si="8"/>
        <v>PS1_A03_1_L</v>
      </c>
    </row>
    <row r="110" spans="1:13" x14ac:dyDescent="0.25">
      <c r="A110" t="s">
        <v>117</v>
      </c>
      <c r="B110" t="s">
        <v>749</v>
      </c>
      <c r="C110" t="s">
        <v>761</v>
      </c>
      <c r="D110">
        <v>1</v>
      </c>
      <c r="E110" t="s">
        <v>752</v>
      </c>
      <c r="F110" t="s">
        <v>779</v>
      </c>
      <c r="G110" t="str">
        <f t="shared" si="9"/>
        <v>A</v>
      </c>
      <c r="H110">
        <f>_xlfn.XLOOKUP(Table2[[#This Row],[Zone]],Table1[Row],Table1[Max Bay],_xleta.NA,0)</f>
        <v>12</v>
      </c>
      <c r="I110" s="1" t="str">
        <f t="shared" si="5"/>
        <v>03</v>
      </c>
      <c r="J110">
        <f t="shared" si="6"/>
        <v>1</v>
      </c>
      <c r="K110" t="str">
        <f>_xlfn.XLOOKUP(Table2[[#This Row],[Row]],Table1[Row],Table1[StartSide],0)</f>
        <v>R</v>
      </c>
      <c r="L110" t="str">
        <f t="shared" si="7"/>
        <v>R</v>
      </c>
      <c r="M110" t="str">
        <f t="shared" si="8"/>
        <v>PS1_A03_1_R</v>
      </c>
    </row>
    <row r="111" spans="1:13" x14ac:dyDescent="0.25">
      <c r="A111" t="s">
        <v>118</v>
      </c>
      <c r="B111" t="s">
        <v>749</v>
      </c>
      <c r="C111" t="s">
        <v>761</v>
      </c>
      <c r="D111">
        <v>2</v>
      </c>
      <c r="E111" t="s">
        <v>751</v>
      </c>
      <c r="F111" t="s">
        <v>779</v>
      </c>
      <c r="G111" t="str">
        <f t="shared" si="9"/>
        <v>A</v>
      </c>
      <c r="H111">
        <f>_xlfn.XLOOKUP(Table2[[#This Row],[Zone]],Table1[Row],Table1[Max Bay],_xleta.NA,0)</f>
        <v>12</v>
      </c>
      <c r="I111" s="1" t="str">
        <f t="shared" si="5"/>
        <v>03</v>
      </c>
      <c r="J111">
        <f t="shared" si="6"/>
        <v>2</v>
      </c>
      <c r="K111" t="str">
        <f>_xlfn.XLOOKUP(Table2[[#This Row],[Row]],Table1[Row],Table1[StartSide],0)</f>
        <v>R</v>
      </c>
      <c r="L111" t="str">
        <f t="shared" si="7"/>
        <v>L</v>
      </c>
      <c r="M111" t="str">
        <f t="shared" si="8"/>
        <v>PS1_A03_2_L</v>
      </c>
    </row>
    <row r="112" spans="1:13" x14ac:dyDescent="0.25">
      <c r="A112" t="s">
        <v>119</v>
      </c>
      <c r="B112" t="s">
        <v>749</v>
      </c>
      <c r="C112" t="s">
        <v>761</v>
      </c>
      <c r="D112">
        <v>2</v>
      </c>
      <c r="E112" t="s">
        <v>752</v>
      </c>
      <c r="F112" t="s">
        <v>779</v>
      </c>
      <c r="G112" t="str">
        <f t="shared" si="9"/>
        <v>A</v>
      </c>
      <c r="H112">
        <f>_xlfn.XLOOKUP(Table2[[#This Row],[Zone]],Table1[Row],Table1[Max Bay],_xleta.NA,0)</f>
        <v>12</v>
      </c>
      <c r="I112" s="1" t="str">
        <f t="shared" si="5"/>
        <v>03</v>
      </c>
      <c r="J112">
        <f t="shared" si="6"/>
        <v>2</v>
      </c>
      <c r="K112" t="str">
        <f>_xlfn.XLOOKUP(Table2[[#This Row],[Row]],Table1[Row],Table1[StartSide],0)</f>
        <v>R</v>
      </c>
      <c r="L112" t="str">
        <f t="shared" si="7"/>
        <v>R</v>
      </c>
      <c r="M112" t="str">
        <f t="shared" si="8"/>
        <v>PS1_A03_2_R</v>
      </c>
    </row>
    <row r="113" spans="1:13" x14ac:dyDescent="0.25">
      <c r="A113" t="s">
        <v>120</v>
      </c>
      <c r="B113" t="s">
        <v>749</v>
      </c>
      <c r="C113" t="s">
        <v>761</v>
      </c>
      <c r="D113">
        <v>3</v>
      </c>
      <c r="E113" t="s">
        <v>751</v>
      </c>
      <c r="F113" t="s">
        <v>779</v>
      </c>
      <c r="G113" t="str">
        <f t="shared" si="9"/>
        <v>A</v>
      </c>
      <c r="H113">
        <f>_xlfn.XLOOKUP(Table2[[#This Row],[Zone]],Table1[Row],Table1[Max Bay],_xleta.NA,0)</f>
        <v>12</v>
      </c>
      <c r="I113" s="1" t="str">
        <f t="shared" si="5"/>
        <v>03</v>
      </c>
      <c r="J113">
        <f t="shared" si="6"/>
        <v>3</v>
      </c>
      <c r="K113" t="str">
        <f>_xlfn.XLOOKUP(Table2[[#This Row],[Row]],Table1[Row],Table1[StartSide],0)</f>
        <v>R</v>
      </c>
      <c r="L113" t="str">
        <f t="shared" si="7"/>
        <v>L</v>
      </c>
      <c r="M113" t="str">
        <f t="shared" si="8"/>
        <v>PS1_A03_3_L</v>
      </c>
    </row>
    <row r="114" spans="1:13" x14ac:dyDescent="0.25">
      <c r="A114" t="s">
        <v>121</v>
      </c>
      <c r="B114" t="s">
        <v>749</v>
      </c>
      <c r="C114" t="s">
        <v>761</v>
      </c>
      <c r="D114">
        <v>3</v>
      </c>
      <c r="E114" t="s">
        <v>752</v>
      </c>
      <c r="F114" t="s">
        <v>779</v>
      </c>
      <c r="G114" t="str">
        <f t="shared" si="9"/>
        <v>A</v>
      </c>
      <c r="H114">
        <f>_xlfn.XLOOKUP(Table2[[#This Row],[Zone]],Table1[Row],Table1[Max Bay],_xleta.NA,0)</f>
        <v>12</v>
      </c>
      <c r="I114" s="1" t="str">
        <f t="shared" si="5"/>
        <v>03</v>
      </c>
      <c r="J114">
        <f t="shared" si="6"/>
        <v>3</v>
      </c>
      <c r="K114" t="str">
        <f>_xlfn.XLOOKUP(Table2[[#This Row],[Row]],Table1[Row],Table1[StartSide],0)</f>
        <v>R</v>
      </c>
      <c r="L114" t="str">
        <f t="shared" si="7"/>
        <v>R</v>
      </c>
      <c r="M114" t="str">
        <f t="shared" si="8"/>
        <v>PS1_A03_3_R</v>
      </c>
    </row>
    <row r="115" spans="1:13" x14ac:dyDescent="0.25">
      <c r="A115" t="s">
        <v>122</v>
      </c>
      <c r="B115" t="s">
        <v>749</v>
      </c>
      <c r="C115" t="s">
        <v>761</v>
      </c>
      <c r="D115">
        <v>4</v>
      </c>
      <c r="E115" t="s">
        <v>751</v>
      </c>
      <c r="F115" t="s">
        <v>779</v>
      </c>
      <c r="G115" t="str">
        <f t="shared" si="9"/>
        <v>A</v>
      </c>
      <c r="H115">
        <f>_xlfn.XLOOKUP(Table2[[#This Row],[Zone]],Table1[Row],Table1[Max Bay],_xleta.NA,0)</f>
        <v>12</v>
      </c>
      <c r="I115" s="1" t="str">
        <f t="shared" si="5"/>
        <v>03</v>
      </c>
      <c r="J115">
        <f t="shared" si="6"/>
        <v>4</v>
      </c>
      <c r="K115" t="str">
        <f>_xlfn.XLOOKUP(Table2[[#This Row],[Row]],Table1[Row],Table1[StartSide],0)</f>
        <v>R</v>
      </c>
      <c r="L115" t="str">
        <f t="shared" si="7"/>
        <v>L</v>
      </c>
      <c r="M115" t="str">
        <f t="shared" si="8"/>
        <v>PS1_A03_4_L</v>
      </c>
    </row>
    <row r="116" spans="1:13" x14ac:dyDescent="0.25">
      <c r="A116" t="s">
        <v>123</v>
      </c>
      <c r="B116" t="s">
        <v>749</v>
      </c>
      <c r="C116" t="s">
        <v>761</v>
      </c>
      <c r="D116">
        <v>4</v>
      </c>
      <c r="E116" t="s">
        <v>752</v>
      </c>
      <c r="F116" t="s">
        <v>779</v>
      </c>
      <c r="G116" t="str">
        <f t="shared" si="9"/>
        <v>A</v>
      </c>
      <c r="H116">
        <f>_xlfn.XLOOKUP(Table2[[#This Row],[Zone]],Table1[Row],Table1[Max Bay],_xleta.NA,0)</f>
        <v>12</v>
      </c>
      <c r="I116" s="1" t="str">
        <f t="shared" si="5"/>
        <v>03</v>
      </c>
      <c r="J116">
        <f t="shared" si="6"/>
        <v>4</v>
      </c>
      <c r="K116" t="str">
        <f>_xlfn.XLOOKUP(Table2[[#This Row],[Row]],Table1[Row],Table1[StartSide],0)</f>
        <v>R</v>
      </c>
      <c r="L116" t="str">
        <f t="shared" si="7"/>
        <v>R</v>
      </c>
      <c r="M116" t="str">
        <f t="shared" si="8"/>
        <v>PS1_A03_4_R</v>
      </c>
    </row>
    <row r="117" spans="1:13" x14ac:dyDescent="0.25">
      <c r="A117" t="s">
        <v>124</v>
      </c>
      <c r="B117" t="s">
        <v>749</v>
      </c>
      <c r="C117" t="s">
        <v>761</v>
      </c>
      <c r="D117">
        <v>5</v>
      </c>
      <c r="E117" t="s">
        <v>751</v>
      </c>
      <c r="F117" t="s">
        <v>779</v>
      </c>
      <c r="G117" t="str">
        <f t="shared" si="9"/>
        <v>A</v>
      </c>
      <c r="H117">
        <f>_xlfn.XLOOKUP(Table2[[#This Row],[Zone]],Table1[Row],Table1[Max Bay],_xleta.NA,0)</f>
        <v>12</v>
      </c>
      <c r="I117" s="1" t="str">
        <f t="shared" si="5"/>
        <v>03</v>
      </c>
      <c r="J117">
        <f t="shared" si="6"/>
        <v>5</v>
      </c>
      <c r="K117" t="str">
        <f>_xlfn.XLOOKUP(Table2[[#This Row],[Row]],Table1[Row],Table1[StartSide],0)</f>
        <v>R</v>
      </c>
      <c r="L117" t="str">
        <f t="shared" si="7"/>
        <v>L</v>
      </c>
      <c r="M117" t="str">
        <f t="shared" si="8"/>
        <v>PS1_A03_5_L</v>
      </c>
    </row>
    <row r="118" spans="1:13" x14ac:dyDescent="0.25">
      <c r="A118" t="s">
        <v>125</v>
      </c>
      <c r="B118" t="s">
        <v>749</v>
      </c>
      <c r="C118" t="s">
        <v>761</v>
      </c>
      <c r="D118">
        <v>5</v>
      </c>
      <c r="E118" t="s">
        <v>752</v>
      </c>
      <c r="F118" t="s">
        <v>779</v>
      </c>
      <c r="G118" t="str">
        <f t="shared" si="9"/>
        <v>A</v>
      </c>
      <c r="H118">
        <f>_xlfn.XLOOKUP(Table2[[#This Row],[Zone]],Table1[Row],Table1[Max Bay],_xleta.NA,0)</f>
        <v>12</v>
      </c>
      <c r="I118" s="1" t="str">
        <f t="shared" si="5"/>
        <v>03</v>
      </c>
      <c r="J118">
        <f t="shared" si="6"/>
        <v>5</v>
      </c>
      <c r="K118" t="str">
        <f>_xlfn.XLOOKUP(Table2[[#This Row],[Row]],Table1[Row],Table1[StartSide],0)</f>
        <v>R</v>
      </c>
      <c r="L118" t="str">
        <f t="shared" si="7"/>
        <v>R</v>
      </c>
      <c r="M118" t="str">
        <f t="shared" si="8"/>
        <v>PS1_A03_5_R</v>
      </c>
    </row>
    <row r="119" spans="1:13" x14ac:dyDescent="0.25">
      <c r="A119" t="s">
        <v>126</v>
      </c>
      <c r="B119" t="s">
        <v>749</v>
      </c>
      <c r="C119" t="s">
        <v>761</v>
      </c>
      <c r="D119">
        <v>6</v>
      </c>
      <c r="E119" t="s">
        <v>751</v>
      </c>
      <c r="F119" t="s">
        <v>779</v>
      </c>
      <c r="G119" t="str">
        <f t="shared" si="9"/>
        <v>A</v>
      </c>
      <c r="H119">
        <f>_xlfn.XLOOKUP(Table2[[#This Row],[Zone]],Table1[Row],Table1[Max Bay],_xleta.NA,0)</f>
        <v>12</v>
      </c>
      <c r="I119" s="1" t="str">
        <f t="shared" si="5"/>
        <v>03</v>
      </c>
      <c r="J119">
        <f t="shared" si="6"/>
        <v>6</v>
      </c>
      <c r="K119" t="str">
        <f>_xlfn.XLOOKUP(Table2[[#This Row],[Row]],Table1[Row],Table1[StartSide],0)</f>
        <v>R</v>
      </c>
      <c r="L119" t="str">
        <f t="shared" si="7"/>
        <v>L</v>
      </c>
      <c r="M119" t="str">
        <f t="shared" si="8"/>
        <v>PS1_A03_6_L</v>
      </c>
    </row>
    <row r="120" spans="1:13" x14ac:dyDescent="0.25">
      <c r="A120" t="s">
        <v>127</v>
      </c>
      <c r="B120" t="s">
        <v>749</v>
      </c>
      <c r="C120" t="s">
        <v>761</v>
      </c>
      <c r="D120">
        <v>6</v>
      </c>
      <c r="E120" t="s">
        <v>752</v>
      </c>
      <c r="F120" t="s">
        <v>779</v>
      </c>
      <c r="G120" t="str">
        <f t="shared" si="9"/>
        <v>A</v>
      </c>
      <c r="H120">
        <f>_xlfn.XLOOKUP(Table2[[#This Row],[Zone]],Table1[Row],Table1[Max Bay],_xleta.NA,0)</f>
        <v>12</v>
      </c>
      <c r="I120" s="1" t="str">
        <f t="shared" si="5"/>
        <v>03</v>
      </c>
      <c r="J120">
        <f t="shared" si="6"/>
        <v>6</v>
      </c>
      <c r="K120" t="str">
        <f>_xlfn.XLOOKUP(Table2[[#This Row],[Row]],Table1[Row],Table1[StartSide],0)</f>
        <v>R</v>
      </c>
      <c r="L120" t="str">
        <f t="shared" si="7"/>
        <v>R</v>
      </c>
      <c r="M120" t="str">
        <f t="shared" si="8"/>
        <v>PS1_A03_6_R</v>
      </c>
    </row>
    <row r="121" spans="1:13" x14ac:dyDescent="0.25">
      <c r="A121" t="s">
        <v>128</v>
      </c>
      <c r="B121" t="s">
        <v>749</v>
      </c>
      <c r="C121" t="s">
        <v>762</v>
      </c>
      <c r="D121">
        <v>1</v>
      </c>
      <c r="E121" t="s">
        <v>751</v>
      </c>
      <c r="F121" t="s">
        <v>779</v>
      </c>
      <c r="G121" t="str">
        <f t="shared" si="9"/>
        <v>A</v>
      </c>
      <c r="H121">
        <f>_xlfn.XLOOKUP(Table2[[#This Row],[Zone]],Table1[Row],Table1[Max Bay],_xleta.NA,0)</f>
        <v>12</v>
      </c>
      <c r="I121" s="1" t="str">
        <f t="shared" si="5"/>
        <v>02</v>
      </c>
      <c r="J121">
        <f t="shared" si="6"/>
        <v>1</v>
      </c>
      <c r="K121" t="str">
        <f>_xlfn.XLOOKUP(Table2[[#This Row],[Row]],Table1[Row],Table1[StartSide],0)</f>
        <v>R</v>
      </c>
      <c r="L121" t="str">
        <f t="shared" si="7"/>
        <v>L</v>
      </c>
      <c r="M121" t="str">
        <f t="shared" si="8"/>
        <v>PS1_A02_1_L</v>
      </c>
    </row>
    <row r="122" spans="1:13" x14ac:dyDescent="0.25">
      <c r="A122" t="s">
        <v>129</v>
      </c>
      <c r="B122" t="s">
        <v>749</v>
      </c>
      <c r="C122" t="s">
        <v>762</v>
      </c>
      <c r="D122">
        <v>1</v>
      </c>
      <c r="E122" t="s">
        <v>752</v>
      </c>
      <c r="F122" t="s">
        <v>779</v>
      </c>
      <c r="G122" t="str">
        <f t="shared" si="9"/>
        <v>A</v>
      </c>
      <c r="H122">
        <f>_xlfn.XLOOKUP(Table2[[#This Row],[Zone]],Table1[Row],Table1[Max Bay],_xleta.NA,0)</f>
        <v>12</v>
      </c>
      <c r="I122" s="1" t="str">
        <f t="shared" si="5"/>
        <v>02</v>
      </c>
      <c r="J122">
        <f t="shared" si="6"/>
        <v>1</v>
      </c>
      <c r="K122" t="str">
        <f>_xlfn.XLOOKUP(Table2[[#This Row],[Row]],Table1[Row],Table1[StartSide],0)</f>
        <v>R</v>
      </c>
      <c r="L122" t="str">
        <f t="shared" si="7"/>
        <v>R</v>
      </c>
      <c r="M122" t="str">
        <f t="shared" si="8"/>
        <v>PS1_A02_1_R</v>
      </c>
    </row>
    <row r="123" spans="1:13" x14ac:dyDescent="0.25">
      <c r="A123" t="s">
        <v>130</v>
      </c>
      <c r="B123" t="s">
        <v>749</v>
      </c>
      <c r="C123" t="s">
        <v>762</v>
      </c>
      <c r="D123">
        <v>2</v>
      </c>
      <c r="E123" t="s">
        <v>751</v>
      </c>
      <c r="F123" t="s">
        <v>779</v>
      </c>
      <c r="G123" t="str">
        <f t="shared" si="9"/>
        <v>A</v>
      </c>
      <c r="H123">
        <f>_xlfn.XLOOKUP(Table2[[#This Row],[Zone]],Table1[Row],Table1[Max Bay],_xleta.NA,0)</f>
        <v>12</v>
      </c>
      <c r="I123" s="1" t="str">
        <f t="shared" si="5"/>
        <v>02</v>
      </c>
      <c r="J123">
        <f t="shared" si="6"/>
        <v>2</v>
      </c>
      <c r="K123" t="str">
        <f>_xlfn.XLOOKUP(Table2[[#This Row],[Row]],Table1[Row],Table1[StartSide],0)</f>
        <v>R</v>
      </c>
      <c r="L123" t="str">
        <f t="shared" si="7"/>
        <v>L</v>
      </c>
      <c r="M123" t="str">
        <f t="shared" si="8"/>
        <v>PS1_A02_2_L</v>
      </c>
    </row>
    <row r="124" spans="1:13" x14ac:dyDescent="0.25">
      <c r="A124" t="s">
        <v>131</v>
      </c>
      <c r="B124" t="s">
        <v>749</v>
      </c>
      <c r="C124" t="s">
        <v>762</v>
      </c>
      <c r="D124">
        <v>2</v>
      </c>
      <c r="E124" t="s">
        <v>752</v>
      </c>
      <c r="F124" t="s">
        <v>779</v>
      </c>
      <c r="G124" t="str">
        <f t="shared" si="9"/>
        <v>A</v>
      </c>
      <c r="H124">
        <f>_xlfn.XLOOKUP(Table2[[#This Row],[Zone]],Table1[Row],Table1[Max Bay],_xleta.NA,0)</f>
        <v>12</v>
      </c>
      <c r="I124" s="1" t="str">
        <f t="shared" si="5"/>
        <v>02</v>
      </c>
      <c r="J124">
        <f t="shared" si="6"/>
        <v>2</v>
      </c>
      <c r="K124" t="str">
        <f>_xlfn.XLOOKUP(Table2[[#This Row],[Row]],Table1[Row],Table1[StartSide],0)</f>
        <v>R</v>
      </c>
      <c r="L124" t="str">
        <f t="shared" si="7"/>
        <v>R</v>
      </c>
      <c r="M124" t="str">
        <f t="shared" si="8"/>
        <v>PS1_A02_2_R</v>
      </c>
    </row>
    <row r="125" spans="1:13" x14ac:dyDescent="0.25">
      <c r="A125" t="s">
        <v>132</v>
      </c>
      <c r="B125" t="s">
        <v>749</v>
      </c>
      <c r="C125" t="s">
        <v>762</v>
      </c>
      <c r="D125">
        <v>3</v>
      </c>
      <c r="E125" t="s">
        <v>751</v>
      </c>
      <c r="F125" t="s">
        <v>779</v>
      </c>
      <c r="G125" t="str">
        <f t="shared" si="9"/>
        <v>A</v>
      </c>
      <c r="H125">
        <f>_xlfn.XLOOKUP(Table2[[#This Row],[Zone]],Table1[Row],Table1[Max Bay],_xleta.NA,0)</f>
        <v>12</v>
      </c>
      <c r="I125" s="1" t="str">
        <f t="shared" si="5"/>
        <v>02</v>
      </c>
      <c r="J125">
        <f t="shared" si="6"/>
        <v>3</v>
      </c>
      <c r="K125" t="str">
        <f>_xlfn.XLOOKUP(Table2[[#This Row],[Row]],Table1[Row],Table1[StartSide],0)</f>
        <v>R</v>
      </c>
      <c r="L125" t="str">
        <f t="shared" si="7"/>
        <v>L</v>
      </c>
      <c r="M125" t="str">
        <f t="shared" si="8"/>
        <v>PS1_A02_3_L</v>
      </c>
    </row>
    <row r="126" spans="1:13" x14ac:dyDescent="0.25">
      <c r="A126" t="s">
        <v>133</v>
      </c>
      <c r="B126" t="s">
        <v>749</v>
      </c>
      <c r="C126" t="s">
        <v>762</v>
      </c>
      <c r="D126">
        <v>3</v>
      </c>
      <c r="E126" t="s">
        <v>752</v>
      </c>
      <c r="F126" t="s">
        <v>779</v>
      </c>
      <c r="G126" t="str">
        <f t="shared" si="9"/>
        <v>A</v>
      </c>
      <c r="H126">
        <f>_xlfn.XLOOKUP(Table2[[#This Row],[Zone]],Table1[Row],Table1[Max Bay],_xleta.NA,0)</f>
        <v>12</v>
      </c>
      <c r="I126" s="1" t="str">
        <f t="shared" si="5"/>
        <v>02</v>
      </c>
      <c r="J126">
        <f t="shared" si="6"/>
        <v>3</v>
      </c>
      <c r="K126" t="str">
        <f>_xlfn.XLOOKUP(Table2[[#This Row],[Row]],Table1[Row],Table1[StartSide],0)</f>
        <v>R</v>
      </c>
      <c r="L126" t="str">
        <f t="shared" si="7"/>
        <v>R</v>
      </c>
      <c r="M126" t="str">
        <f t="shared" si="8"/>
        <v>PS1_A02_3_R</v>
      </c>
    </row>
    <row r="127" spans="1:13" x14ac:dyDescent="0.25">
      <c r="A127" t="s">
        <v>134</v>
      </c>
      <c r="B127" t="s">
        <v>749</v>
      </c>
      <c r="C127" t="s">
        <v>762</v>
      </c>
      <c r="D127">
        <v>4</v>
      </c>
      <c r="E127" t="s">
        <v>751</v>
      </c>
      <c r="F127" t="s">
        <v>779</v>
      </c>
      <c r="G127" t="str">
        <f t="shared" si="9"/>
        <v>A</v>
      </c>
      <c r="H127">
        <f>_xlfn.XLOOKUP(Table2[[#This Row],[Zone]],Table1[Row],Table1[Max Bay],_xleta.NA,0)</f>
        <v>12</v>
      </c>
      <c r="I127" s="1" t="str">
        <f t="shared" si="5"/>
        <v>02</v>
      </c>
      <c r="J127">
        <f t="shared" si="6"/>
        <v>4</v>
      </c>
      <c r="K127" t="str">
        <f>_xlfn.XLOOKUP(Table2[[#This Row],[Row]],Table1[Row],Table1[StartSide],0)</f>
        <v>R</v>
      </c>
      <c r="L127" t="str">
        <f t="shared" si="7"/>
        <v>L</v>
      </c>
      <c r="M127" t="str">
        <f t="shared" si="8"/>
        <v>PS1_A02_4_L</v>
      </c>
    </row>
    <row r="128" spans="1:13" x14ac:dyDescent="0.25">
      <c r="A128" t="s">
        <v>135</v>
      </c>
      <c r="B128" t="s">
        <v>749</v>
      </c>
      <c r="C128" t="s">
        <v>762</v>
      </c>
      <c r="D128">
        <v>4</v>
      </c>
      <c r="E128" t="s">
        <v>752</v>
      </c>
      <c r="F128" t="s">
        <v>779</v>
      </c>
      <c r="G128" t="str">
        <f t="shared" si="9"/>
        <v>A</v>
      </c>
      <c r="H128">
        <f>_xlfn.XLOOKUP(Table2[[#This Row],[Zone]],Table1[Row],Table1[Max Bay],_xleta.NA,0)</f>
        <v>12</v>
      </c>
      <c r="I128" s="1" t="str">
        <f t="shared" si="5"/>
        <v>02</v>
      </c>
      <c r="J128">
        <f t="shared" si="6"/>
        <v>4</v>
      </c>
      <c r="K128" t="str">
        <f>_xlfn.XLOOKUP(Table2[[#This Row],[Row]],Table1[Row],Table1[StartSide],0)</f>
        <v>R</v>
      </c>
      <c r="L128" t="str">
        <f t="shared" si="7"/>
        <v>R</v>
      </c>
      <c r="M128" t="str">
        <f t="shared" si="8"/>
        <v>PS1_A02_4_R</v>
      </c>
    </row>
    <row r="129" spans="1:13" x14ac:dyDescent="0.25">
      <c r="A129" t="s">
        <v>136</v>
      </c>
      <c r="B129" t="s">
        <v>749</v>
      </c>
      <c r="C129" t="s">
        <v>762</v>
      </c>
      <c r="D129">
        <v>5</v>
      </c>
      <c r="E129" t="s">
        <v>751</v>
      </c>
      <c r="F129" t="s">
        <v>779</v>
      </c>
      <c r="G129" t="str">
        <f t="shared" si="9"/>
        <v>A</v>
      </c>
      <c r="H129">
        <f>_xlfn.XLOOKUP(Table2[[#This Row],[Zone]],Table1[Row],Table1[Max Bay],_xleta.NA,0)</f>
        <v>12</v>
      </c>
      <c r="I129" s="1" t="str">
        <f t="shared" si="5"/>
        <v>02</v>
      </c>
      <c r="J129">
        <f t="shared" si="6"/>
        <v>5</v>
      </c>
      <c r="K129" t="str">
        <f>_xlfn.XLOOKUP(Table2[[#This Row],[Row]],Table1[Row],Table1[StartSide],0)</f>
        <v>R</v>
      </c>
      <c r="L129" t="str">
        <f t="shared" si="7"/>
        <v>L</v>
      </c>
      <c r="M129" t="str">
        <f t="shared" si="8"/>
        <v>PS1_A02_5_L</v>
      </c>
    </row>
    <row r="130" spans="1:13" x14ac:dyDescent="0.25">
      <c r="A130" t="s">
        <v>137</v>
      </c>
      <c r="B130" t="s">
        <v>749</v>
      </c>
      <c r="C130" t="s">
        <v>762</v>
      </c>
      <c r="D130">
        <v>5</v>
      </c>
      <c r="E130" t="s">
        <v>752</v>
      </c>
      <c r="F130" t="s">
        <v>779</v>
      </c>
      <c r="G130" t="str">
        <f t="shared" si="9"/>
        <v>A</v>
      </c>
      <c r="H130">
        <f>_xlfn.XLOOKUP(Table2[[#This Row],[Zone]],Table1[Row],Table1[Max Bay],_xleta.NA,0)</f>
        <v>12</v>
      </c>
      <c r="I130" s="1" t="str">
        <f t="shared" ref="I130:I193" si="10">TEXT(H130-INT(C130)+1,"00")</f>
        <v>02</v>
      </c>
      <c r="J130">
        <f t="shared" ref="J130:J193" si="11">D130</f>
        <v>5</v>
      </c>
      <c r="K130" t="str">
        <f>_xlfn.XLOOKUP(Table2[[#This Row],[Row]],Table1[Row],Table1[StartSide],0)</f>
        <v>R</v>
      </c>
      <c r="L130" t="str">
        <f t="shared" ref="L130:L193" si="12">E130</f>
        <v>R</v>
      </c>
      <c r="M130" t="str">
        <f t="shared" ref="M130:M193" si="13">_xlfn.CONCAT(F130,"_",G130,I130,"_",J130,"_",L130)</f>
        <v>PS1_A02_5_R</v>
      </c>
    </row>
    <row r="131" spans="1:13" x14ac:dyDescent="0.25">
      <c r="A131" t="s">
        <v>138</v>
      </c>
      <c r="B131" t="s">
        <v>749</v>
      </c>
      <c r="C131" t="s">
        <v>762</v>
      </c>
      <c r="D131">
        <v>6</v>
      </c>
      <c r="E131" t="s">
        <v>751</v>
      </c>
      <c r="F131" t="s">
        <v>779</v>
      </c>
      <c r="G131" t="str">
        <f t="shared" ref="G131:G194" si="14">B131</f>
        <v>A</v>
      </c>
      <c r="H131">
        <f>_xlfn.XLOOKUP(Table2[[#This Row],[Zone]],Table1[Row],Table1[Max Bay],_xleta.NA,0)</f>
        <v>12</v>
      </c>
      <c r="I131" s="1" t="str">
        <f t="shared" si="10"/>
        <v>02</v>
      </c>
      <c r="J131">
        <f t="shared" si="11"/>
        <v>6</v>
      </c>
      <c r="K131" t="str">
        <f>_xlfn.XLOOKUP(Table2[[#This Row],[Row]],Table1[Row],Table1[StartSide],0)</f>
        <v>R</v>
      </c>
      <c r="L131" t="str">
        <f t="shared" si="12"/>
        <v>L</v>
      </c>
      <c r="M131" t="str">
        <f t="shared" si="13"/>
        <v>PS1_A02_6_L</v>
      </c>
    </row>
    <row r="132" spans="1:13" x14ac:dyDescent="0.25">
      <c r="A132" t="s">
        <v>139</v>
      </c>
      <c r="B132" t="s">
        <v>749</v>
      </c>
      <c r="C132" t="s">
        <v>762</v>
      </c>
      <c r="D132">
        <v>6</v>
      </c>
      <c r="E132" t="s">
        <v>752</v>
      </c>
      <c r="F132" t="s">
        <v>779</v>
      </c>
      <c r="G132" t="str">
        <f t="shared" si="14"/>
        <v>A</v>
      </c>
      <c r="H132">
        <f>_xlfn.XLOOKUP(Table2[[#This Row],[Zone]],Table1[Row],Table1[Max Bay],_xleta.NA,0)</f>
        <v>12</v>
      </c>
      <c r="I132" s="1" t="str">
        <f t="shared" si="10"/>
        <v>02</v>
      </c>
      <c r="J132">
        <f t="shared" si="11"/>
        <v>6</v>
      </c>
      <c r="K132" t="str">
        <f>_xlfn.XLOOKUP(Table2[[#This Row],[Row]],Table1[Row],Table1[StartSide],0)</f>
        <v>R</v>
      </c>
      <c r="L132" t="str">
        <f t="shared" si="12"/>
        <v>R</v>
      </c>
      <c r="M132" t="str">
        <f t="shared" si="13"/>
        <v>PS1_A02_6_R</v>
      </c>
    </row>
    <row r="133" spans="1:13" x14ac:dyDescent="0.25">
      <c r="A133" t="s">
        <v>140</v>
      </c>
      <c r="B133" t="s">
        <v>749</v>
      </c>
      <c r="C133" t="s">
        <v>763</v>
      </c>
      <c r="D133">
        <v>1</v>
      </c>
      <c r="E133" t="s">
        <v>751</v>
      </c>
      <c r="F133" t="s">
        <v>779</v>
      </c>
      <c r="G133" t="str">
        <f t="shared" si="14"/>
        <v>A</v>
      </c>
      <c r="H133">
        <f>_xlfn.XLOOKUP(Table2[[#This Row],[Zone]],Table1[Row],Table1[Max Bay],_xleta.NA,0)</f>
        <v>12</v>
      </c>
      <c r="I133" s="1" t="str">
        <f t="shared" si="10"/>
        <v>01</v>
      </c>
      <c r="J133">
        <f t="shared" si="11"/>
        <v>1</v>
      </c>
      <c r="K133" t="str">
        <f>_xlfn.XLOOKUP(Table2[[#This Row],[Row]],Table1[Row],Table1[StartSide],0)</f>
        <v>R</v>
      </c>
      <c r="L133" t="str">
        <f t="shared" si="12"/>
        <v>L</v>
      </c>
      <c r="M133" t="str">
        <f t="shared" si="13"/>
        <v>PS1_A01_1_L</v>
      </c>
    </row>
    <row r="134" spans="1:13" x14ac:dyDescent="0.25">
      <c r="A134" t="s">
        <v>141</v>
      </c>
      <c r="B134" t="s">
        <v>749</v>
      </c>
      <c r="C134" t="s">
        <v>763</v>
      </c>
      <c r="D134">
        <v>1</v>
      </c>
      <c r="E134" t="s">
        <v>752</v>
      </c>
      <c r="F134" t="s">
        <v>779</v>
      </c>
      <c r="G134" t="str">
        <f t="shared" si="14"/>
        <v>A</v>
      </c>
      <c r="H134">
        <f>_xlfn.XLOOKUP(Table2[[#This Row],[Zone]],Table1[Row],Table1[Max Bay],_xleta.NA,0)</f>
        <v>12</v>
      </c>
      <c r="I134" s="1" t="str">
        <f t="shared" si="10"/>
        <v>01</v>
      </c>
      <c r="J134">
        <f t="shared" si="11"/>
        <v>1</v>
      </c>
      <c r="K134" t="str">
        <f>_xlfn.XLOOKUP(Table2[[#This Row],[Row]],Table1[Row],Table1[StartSide],0)</f>
        <v>R</v>
      </c>
      <c r="L134" t="str">
        <f t="shared" si="12"/>
        <v>R</v>
      </c>
      <c r="M134" t="str">
        <f t="shared" si="13"/>
        <v>PS1_A01_1_R</v>
      </c>
    </row>
    <row r="135" spans="1:13" x14ac:dyDescent="0.25">
      <c r="A135" t="s">
        <v>142</v>
      </c>
      <c r="B135" t="s">
        <v>749</v>
      </c>
      <c r="C135" t="s">
        <v>763</v>
      </c>
      <c r="D135">
        <v>2</v>
      </c>
      <c r="E135" t="s">
        <v>751</v>
      </c>
      <c r="F135" t="s">
        <v>779</v>
      </c>
      <c r="G135" t="str">
        <f t="shared" si="14"/>
        <v>A</v>
      </c>
      <c r="H135">
        <f>_xlfn.XLOOKUP(Table2[[#This Row],[Zone]],Table1[Row],Table1[Max Bay],_xleta.NA,0)</f>
        <v>12</v>
      </c>
      <c r="I135" s="1" t="str">
        <f t="shared" si="10"/>
        <v>01</v>
      </c>
      <c r="J135">
        <f t="shared" si="11"/>
        <v>2</v>
      </c>
      <c r="K135" t="str">
        <f>_xlfn.XLOOKUP(Table2[[#This Row],[Row]],Table1[Row],Table1[StartSide],0)</f>
        <v>R</v>
      </c>
      <c r="L135" t="str">
        <f t="shared" si="12"/>
        <v>L</v>
      </c>
      <c r="M135" t="str">
        <f t="shared" si="13"/>
        <v>PS1_A01_2_L</v>
      </c>
    </row>
    <row r="136" spans="1:13" x14ac:dyDescent="0.25">
      <c r="A136" t="s">
        <v>143</v>
      </c>
      <c r="B136" t="s">
        <v>749</v>
      </c>
      <c r="C136" t="s">
        <v>763</v>
      </c>
      <c r="D136">
        <v>2</v>
      </c>
      <c r="E136" t="s">
        <v>752</v>
      </c>
      <c r="F136" t="s">
        <v>779</v>
      </c>
      <c r="G136" t="str">
        <f t="shared" si="14"/>
        <v>A</v>
      </c>
      <c r="H136">
        <f>_xlfn.XLOOKUP(Table2[[#This Row],[Zone]],Table1[Row],Table1[Max Bay],_xleta.NA,0)</f>
        <v>12</v>
      </c>
      <c r="I136" s="1" t="str">
        <f t="shared" si="10"/>
        <v>01</v>
      </c>
      <c r="J136">
        <f t="shared" si="11"/>
        <v>2</v>
      </c>
      <c r="K136" t="str">
        <f>_xlfn.XLOOKUP(Table2[[#This Row],[Row]],Table1[Row],Table1[StartSide],0)</f>
        <v>R</v>
      </c>
      <c r="L136" t="str">
        <f t="shared" si="12"/>
        <v>R</v>
      </c>
      <c r="M136" t="str">
        <f t="shared" si="13"/>
        <v>PS1_A01_2_R</v>
      </c>
    </row>
    <row r="137" spans="1:13" x14ac:dyDescent="0.25">
      <c r="A137" t="s">
        <v>144</v>
      </c>
      <c r="B137" t="s">
        <v>749</v>
      </c>
      <c r="C137" t="s">
        <v>763</v>
      </c>
      <c r="D137">
        <v>3</v>
      </c>
      <c r="E137" t="s">
        <v>751</v>
      </c>
      <c r="F137" t="s">
        <v>779</v>
      </c>
      <c r="G137" t="str">
        <f t="shared" si="14"/>
        <v>A</v>
      </c>
      <c r="H137">
        <f>_xlfn.XLOOKUP(Table2[[#This Row],[Zone]],Table1[Row],Table1[Max Bay],_xleta.NA,0)</f>
        <v>12</v>
      </c>
      <c r="I137" s="1" t="str">
        <f t="shared" si="10"/>
        <v>01</v>
      </c>
      <c r="J137">
        <f t="shared" si="11"/>
        <v>3</v>
      </c>
      <c r="K137" t="str">
        <f>_xlfn.XLOOKUP(Table2[[#This Row],[Row]],Table1[Row],Table1[StartSide],0)</f>
        <v>R</v>
      </c>
      <c r="L137" t="str">
        <f t="shared" si="12"/>
        <v>L</v>
      </c>
      <c r="M137" t="str">
        <f t="shared" si="13"/>
        <v>PS1_A01_3_L</v>
      </c>
    </row>
    <row r="138" spans="1:13" x14ac:dyDescent="0.25">
      <c r="A138" t="s">
        <v>145</v>
      </c>
      <c r="B138" t="s">
        <v>749</v>
      </c>
      <c r="C138" t="s">
        <v>763</v>
      </c>
      <c r="D138">
        <v>3</v>
      </c>
      <c r="E138" t="s">
        <v>752</v>
      </c>
      <c r="F138" t="s">
        <v>779</v>
      </c>
      <c r="G138" t="str">
        <f t="shared" si="14"/>
        <v>A</v>
      </c>
      <c r="H138">
        <f>_xlfn.XLOOKUP(Table2[[#This Row],[Zone]],Table1[Row],Table1[Max Bay],_xleta.NA,0)</f>
        <v>12</v>
      </c>
      <c r="I138" s="1" t="str">
        <f t="shared" si="10"/>
        <v>01</v>
      </c>
      <c r="J138">
        <f t="shared" si="11"/>
        <v>3</v>
      </c>
      <c r="K138" t="str">
        <f>_xlfn.XLOOKUP(Table2[[#This Row],[Row]],Table1[Row],Table1[StartSide],0)</f>
        <v>R</v>
      </c>
      <c r="L138" t="str">
        <f t="shared" si="12"/>
        <v>R</v>
      </c>
      <c r="M138" t="str">
        <f t="shared" si="13"/>
        <v>PS1_A01_3_R</v>
      </c>
    </row>
    <row r="139" spans="1:13" x14ac:dyDescent="0.25">
      <c r="A139" t="s">
        <v>146</v>
      </c>
      <c r="B139" t="s">
        <v>749</v>
      </c>
      <c r="C139" t="s">
        <v>763</v>
      </c>
      <c r="D139">
        <v>4</v>
      </c>
      <c r="E139" t="s">
        <v>751</v>
      </c>
      <c r="F139" t="s">
        <v>779</v>
      </c>
      <c r="G139" t="str">
        <f t="shared" si="14"/>
        <v>A</v>
      </c>
      <c r="H139">
        <f>_xlfn.XLOOKUP(Table2[[#This Row],[Zone]],Table1[Row],Table1[Max Bay],_xleta.NA,0)</f>
        <v>12</v>
      </c>
      <c r="I139" s="1" t="str">
        <f t="shared" si="10"/>
        <v>01</v>
      </c>
      <c r="J139">
        <f t="shared" si="11"/>
        <v>4</v>
      </c>
      <c r="K139" t="str">
        <f>_xlfn.XLOOKUP(Table2[[#This Row],[Row]],Table1[Row],Table1[StartSide],0)</f>
        <v>R</v>
      </c>
      <c r="L139" t="str">
        <f t="shared" si="12"/>
        <v>L</v>
      </c>
      <c r="M139" t="str">
        <f t="shared" si="13"/>
        <v>PS1_A01_4_L</v>
      </c>
    </row>
    <row r="140" spans="1:13" x14ac:dyDescent="0.25">
      <c r="A140" t="s">
        <v>147</v>
      </c>
      <c r="B140" t="s">
        <v>749</v>
      </c>
      <c r="C140" t="s">
        <v>763</v>
      </c>
      <c r="D140">
        <v>4</v>
      </c>
      <c r="E140" t="s">
        <v>752</v>
      </c>
      <c r="F140" t="s">
        <v>779</v>
      </c>
      <c r="G140" t="str">
        <f t="shared" si="14"/>
        <v>A</v>
      </c>
      <c r="H140">
        <f>_xlfn.XLOOKUP(Table2[[#This Row],[Zone]],Table1[Row],Table1[Max Bay],_xleta.NA,0)</f>
        <v>12</v>
      </c>
      <c r="I140" s="1" t="str">
        <f t="shared" si="10"/>
        <v>01</v>
      </c>
      <c r="J140">
        <f t="shared" si="11"/>
        <v>4</v>
      </c>
      <c r="K140" t="str">
        <f>_xlfn.XLOOKUP(Table2[[#This Row],[Row]],Table1[Row],Table1[StartSide],0)</f>
        <v>R</v>
      </c>
      <c r="L140" t="str">
        <f t="shared" si="12"/>
        <v>R</v>
      </c>
      <c r="M140" t="str">
        <f t="shared" si="13"/>
        <v>PS1_A01_4_R</v>
      </c>
    </row>
    <row r="141" spans="1:13" x14ac:dyDescent="0.25">
      <c r="A141" t="s">
        <v>148</v>
      </c>
      <c r="B141" t="s">
        <v>749</v>
      </c>
      <c r="C141" t="s">
        <v>763</v>
      </c>
      <c r="D141">
        <v>5</v>
      </c>
      <c r="E141" t="s">
        <v>751</v>
      </c>
      <c r="F141" t="s">
        <v>779</v>
      </c>
      <c r="G141" t="str">
        <f t="shared" si="14"/>
        <v>A</v>
      </c>
      <c r="H141">
        <f>_xlfn.XLOOKUP(Table2[[#This Row],[Zone]],Table1[Row],Table1[Max Bay],_xleta.NA,0)</f>
        <v>12</v>
      </c>
      <c r="I141" s="1" t="str">
        <f t="shared" si="10"/>
        <v>01</v>
      </c>
      <c r="J141">
        <f t="shared" si="11"/>
        <v>5</v>
      </c>
      <c r="K141" t="str">
        <f>_xlfn.XLOOKUP(Table2[[#This Row],[Row]],Table1[Row],Table1[StartSide],0)</f>
        <v>R</v>
      </c>
      <c r="L141" t="str">
        <f t="shared" si="12"/>
        <v>L</v>
      </c>
      <c r="M141" t="str">
        <f t="shared" si="13"/>
        <v>PS1_A01_5_L</v>
      </c>
    </row>
    <row r="142" spans="1:13" x14ac:dyDescent="0.25">
      <c r="A142" t="s">
        <v>149</v>
      </c>
      <c r="B142" t="s">
        <v>749</v>
      </c>
      <c r="C142" t="s">
        <v>763</v>
      </c>
      <c r="D142">
        <v>5</v>
      </c>
      <c r="E142" t="s">
        <v>752</v>
      </c>
      <c r="F142" t="s">
        <v>779</v>
      </c>
      <c r="G142" t="str">
        <f t="shared" si="14"/>
        <v>A</v>
      </c>
      <c r="H142">
        <f>_xlfn.XLOOKUP(Table2[[#This Row],[Zone]],Table1[Row],Table1[Max Bay],_xleta.NA,0)</f>
        <v>12</v>
      </c>
      <c r="I142" s="1" t="str">
        <f t="shared" si="10"/>
        <v>01</v>
      </c>
      <c r="J142">
        <f t="shared" si="11"/>
        <v>5</v>
      </c>
      <c r="K142" t="str">
        <f>_xlfn.XLOOKUP(Table2[[#This Row],[Row]],Table1[Row],Table1[StartSide],0)</f>
        <v>R</v>
      </c>
      <c r="L142" t="str">
        <f t="shared" si="12"/>
        <v>R</v>
      </c>
      <c r="M142" t="str">
        <f t="shared" si="13"/>
        <v>PS1_A01_5_R</v>
      </c>
    </row>
    <row r="143" spans="1:13" x14ac:dyDescent="0.25">
      <c r="A143" t="s">
        <v>150</v>
      </c>
      <c r="B143" t="s">
        <v>749</v>
      </c>
      <c r="C143" t="s">
        <v>763</v>
      </c>
      <c r="D143">
        <v>6</v>
      </c>
      <c r="E143" t="s">
        <v>751</v>
      </c>
      <c r="F143" t="s">
        <v>779</v>
      </c>
      <c r="G143" t="str">
        <f t="shared" si="14"/>
        <v>A</v>
      </c>
      <c r="H143">
        <f>_xlfn.XLOOKUP(Table2[[#This Row],[Zone]],Table1[Row],Table1[Max Bay],_xleta.NA,0)</f>
        <v>12</v>
      </c>
      <c r="I143" s="1" t="str">
        <f t="shared" si="10"/>
        <v>01</v>
      </c>
      <c r="J143">
        <f t="shared" si="11"/>
        <v>6</v>
      </c>
      <c r="K143" t="str">
        <f>_xlfn.XLOOKUP(Table2[[#This Row],[Row]],Table1[Row],Table1[StartSide],0)</f>
        <v>R</v>
      </c>
      <c r="L143" t="str">
        <f t="shared" si="12"/>
        <v>L</v>
      </c>
      <c r="M143" t="str">
        <f t="shared" si="13"/>
        <v>PS1_A01_6_L</v>
      </c>
    </row>
    <row r="144" spans="1:13" x14ac:dyDescent="0.25">
      <c r="A144" t="s">
        <v>151</v>
      </c>
      <c r="B144" t="s">
        <v>749</v>
      </c>
      <c r="C144" t="s">
        <v>763</v>
      </c>
      <c r="D144">
        <v>6</v>
      </c>
      <c r="E144" t="s">
        <v>752</v>
      </c>
      <c r="F144" t="s">
        <v>779</v>
      </c>
      <c r="G144" t="str">
        <f t="shared" si="14"/>
        <v>A</v>
      </c>
      <c r="H144">
        <f>_xlfn.XLOOKUP(Table2[[#This Row],[Zone]],Table1[Row],Table1[Max Bay],_xleta.NA,0)</f>
        <v>12</v>
      </c>
      <c r="I144" s="1" t="str">
        <f t="shared" si="10"/>
        <v>01</v>
      </c>
      <c r="J144">
        <f t="shared" si="11"/>
        <v>6</v>
      </c>
      <c r="K144" t="str">
        <f>_xlfn.XLOOKUP(Table2[[#This Row],[Row]],Table1[Row],Table1[StartSide],0)</f>
        <v>R</v>
      </c>
      <c r="L144" t="str">
        <f t="shared" si="12"/>
        <v>R</v>
      </c>
      <c r="M144" t="str">
        <f t="shared" si="13"/>
        <v>PS1_A01_6_R</v>
      </c>
    </row>
    <row r="145" spans="1:13" x14ac:dyDescent="0.25">
      <c r="A145" t="s">
        <v>152</v>
      </c>
      <c r="B145" t="s">
        <v>764</v>
      </c>
      <c r="C145" t="s">
        <v>750</v>
      </c>
      <c r="D145">
        <v>1</v>
      </c>
      <c r="E145" t="s">
        <v>751</v>
      </c>
      <c r="F145" t="s">
        <v>779</v>
      </c>
      <c r="G145" t="str">
        <f t="shared" si="14"/>
        <v>B</v>
      </c>
      <c r="H145">
        <f>_xlfn.XLOOKUP(Table2[[#This Row],[Zone]],Table1[Row],Table1[Max Bay],_xleta.NA,0)</f>
        <v>12</v>
      </c>
      <c r="I145" s="1" t="str">
        <f t="shared" si="10"/>
        <v>12</v>
      </c>
      <c r="J145">
        <f t="shared" si="11"/>
        <v>1</v>
      </c>
      <c r="K145" t="str">
        <f>_xlfn.XLOOKUP(Table2[[#This Row],[Row]],Table1[Row],Table1[StartSide],0)</f>
        <v>L</v>
      </c>
      <c r="L145" t="str">
        <f t="shared" si="12"/>
        <v>L</v>
      </c>
      <c r="M145" t="str">
        <f t="shared" si="13"/>
        <v>PS1_B12_1_L</v>
      </c>
    </row>
    <row r="146" spans="1:13" x14ac:dyDescent="0.25">
      <c r="A146" t="s">
        <v>153</v>
      </c>
      <c r="B146" t="s">
        <v>764</v>
      </c>
      <c r="C146" t="s">
        <v>750</v>
      </c>
      <c r="D146">
        <v>1</v>
      </c>
      <c r="E146" t="s">
        <v>752</v>
      </c>
      <c r="F146" t="s">
        <v>779</v>
      </c>
      <c r="G146" t="str">
        <f t="shared" si="14"/>
        <v>B</v>
      </c>
      <c r="H146">
        <f>_xlfn.XLOOKUP(Table2[[#This Row],[Zone]],Table1[Row],Table1[Max Bay],_xleta.NA,0)</f>
        <v>12</v>
      </c>
      <c r="I146" s="1" t="str">
        <f t="shared" si="10"/>
        <v>12</v>
      </c>
      <c r="J146">
        <f t="shared" si="11"/>
        <v>1</v>
      </c>
      <c r="K146" t="str">
        <f>_xlfn.XLOOKUP(Table2[[#This Row],[Row]],Table1[Row],Table1[StartSide],0)</f>
        <v>L</v>
      </c>
      <c r="L146" t="str">
        <f t="shared" si="12"/>
        <v>R</v>
      </c>
      <c r="M146" t="str">
        <f t="shared" si="13"/>
        <v>PS1_B12_1_R</v>
      </c>
    </row>
    <row r="147" spans="1:13" x14ac:dyDescent="0.25">
      <c r="A147" t="s">
        <v>154</v>
      </c>
      <c r="B147" t="s">
        <v>764</v>
      </c>
      <c r="C147" t="s">
        <v>750</v>
      </c>
      <c r="D147">
        <v>2</v>
      </c>
      <c r="E147" t="s">
        <v>751</v>
      </c>
      <c r="F147" t="s">
        <v>779</v>
      </c>
      <c r="G147" t="str">
        <f t="shared" si="14"/>
        <v>B</v>
      </c>
      <c r="H147">
        <f>_xlfn.XLOOKUP(Table2[[#This Row],[Zone]],Table1[Row],Table1[Max Bay],_xleta.NA,0)</f>
        <v>12</v>
      </c>
      <c r="I147" s="1" t="str">
        <f t="shared" si="10"/>
        <v>12</v>
      </c>
      <c r="J147">
        <f t="shared" si="11"/>
        <v>2</v>
      </c>
      <c r="K147" t="str">
        <f>_xlfn.XLOOKUP(Table2[[#This Row],[Row]],Table1[Row],Table1[StartSide],0)</f>
        <v>L</v>
      </c>
      <c r="L147" t="str">
        <f t="shared" si="12"/>
        <v>L</v>
      </c>
      <c r="M147" t="str">
        <f t="shared" si="13"/>
        <v>PS1_B12_2_L</v>
      </c>
    </row>
    <row r="148" spans="1:13" x14ac:dyDescent="0.25">
      <c r="A148" t="s">
        <v>155</v>
      </c>
      <c r="B148" t="s">
        <v>764</v>
      </c>
      <c r="C148" t="s">
        <v>750</v>
      </c>
      <c r="D148">
        <v>2</v>
      </c>
      <c r="E148" t="s">
        <v>752</v>
      </c>
      <c r="F148" t="s">
        <v>779</v>
      </c>
      <c r="G148" t="str">
        <f t="shared" si="14"/>
        <v>B</v>
      </c>
      <c r="H148">
        <f>_xlfn.XLOOKUP(Table2[[#This Row],[Zone]],Table1[Row],Table1[Max Bay],_xleta.NA,0)</f>
        <v>12</v>
      </c>
      <c r="I148" s="1" t="str">
        <f t="shared" si="10"/>
        <v>12</v>
      </c>
      <c r="J148">
        <f t="shared" si="11"/>
        <v>2</v>
      </c>
      <c r="K148" t="str">
        <f>_xlfn.XLOOKUP(Table2[[#This Row],[Row]],Table1[Row],Table1[StartSide],0)</f>
        <v>L</v>
      </c>
      <c r="L148" t="str">
        <f t="shared" si="12"/>
        <v>R</v>
      </c>
      <c r="M148" t="str">
        <f t="shared" si="13"/>
        <v>PS1_B12_2_R</v>
      </c>
    </row>
    <row r="149" spans="1:13" x14ac:dyDescent="0.25">
      <c r="A149" t="s">
        <v>156</v>
      </c>
      <c r="B149" t="s">
        <v>764</v>
      </c>
      <c r="C149" t="s">
        <v>750</v>
      </c>
      <c r="D149">
        <v>3</v>
      </c>
      <c r="E149" t="s">
        <v>751</v>
      </c>
      <c r="F149" t="s">
        <v>779</v>
      </c>
      <c r="G149" t="str">
        <f t="shared" si="14"/>
        <v>B</v>
      </c>
      <c r="H149">
        <f>_xlfn.XLOOKUP(Table2[[#This Row],[Zone]],Table1[Row],Table1[Max Bay],_xleta.NA,0)</f>
        <v>12</v>
      </c>
      <c r="I149" s="1" t="str">
        <f t="shared" si="10"/>
        <v>12</v>
      </c>
      <c r="J149">
        <f t="shared" si="11"/>
        <v>3</v>
      </c>
      <c r="K149" t="str">
        <f>_xlfn.XLOOKUP(Table2[[#This Row],[Row]],Table1[Row],Table1[StartSide],0)</f>
        <v>L</v>
      </c>
      <c r="L149" t="str">
        <f t="shared" si="12"/>
        <v>L</v>
      </c>
      <c r="M149" t="str">
        <f t="shared" si="13"/>
        <v>PS1_B12_3_L</v>
      </c>
    </row>
    <row r="150" spans="1:13" x14ac:dyDescent="0.25">
      <c r="A150" t="s">
        <v>157</v>
      </c>
      <c r="B150" t="s">
        <v>764</v>
      </c>
      <c r="C150" t="s">
        <v>750</v>
      </c>
      <c r="D150">
        <v>3</v>
      </c>
      <c r="E150" t="s">
        <v>752</v>
      </c>
      <c r="F150" t="s">
        <v>779</v>
      </c>
      <c r="G150" t="str">
        <f t="shared" si="14"/>
        <v>B</v>
      </c>
      <c r="H150">
        <f>_xlfn.XLOOKUP(Table2[[#This Row],[Zone]],Table1[Row],Table1[Max Bay],_xleta.NA,0)</f>
        <v>12</v>
      </c>
      <c r="I150" s="1" t="str">
        <f t="shared" si="10"/>
        <v>12</v>
      </c>
      <c r="J150">
        <f t="shared" si="11"/>
        <v>3</v>
      </c>
      <c r="K150" t="str">
        <f>_xlfn.XLOOKUP(Table2[[#This Row],[Row]],Table1[Row],Table1[StartSide],0)</f>
        <v>L</v>
      </c>
      <c r="L150" t="str">
        <f t="shared" si="12"/>
        <v>R</v>
      </c>
      <c r="M150" t="str">
        <f t="shared" si="13"/>
        <v>PS1_B12_3_R</v>
      </c>
    </row>
    <row r="151" spans="1:13" x14ac:dyDescent="0.25">
      <c r="A151" t="s">
        <v>158</v>
      </c>
      <c r="B151" t="s">
        <v>764</v>
      </c>
      <c r="C151" t="s">
        <v>750</v>
      </c>
      <c r="D151">
        <v>4</v>
      </c>
      <c r="E151" t="s">
        <v>751</v>
      </c>
      <c r="F151" t="s">
        <v>779</v>
      </c>
      <c r="G151" t="str">
        <f t="shared" si="14"/>
        <v>B</v>
      </c>
      <c r="H151">
        <f>_xlfn.XLOOKUP(Table2[[#This Row],[Zone]],Table1[Row],Table1[Max Bay],_xleta.NA,0)</f>
        <v>12</v>
      </c>
      <c r="I151" s="1" t="str">
        <f t="shared" si="10"/>
        <v>12</v>
      </c>
      <c r="J151">
        <f t="shared" si="11"/>
        <v>4</v>
      </c>
      <c r="K151" t="str">
        <f>_xlfn.XLOOKUP(Table2[[#This Row],[Row]],Table1[Row],Table1[StartSide],0)</f>
        <v>L</v>
      </c>
      <c r="L151" t="str">
        <f t="shared" si="12"/>
        <v>L</v>
      </c>
      <c r="M151" t="str">
        <f t="shared" si="13"/>
        <v>PS1_B12_4_L</v>
      </c>
    </row>
    <row r="152" spans="1:13" x14ac:dyDescent="0.25">
      <c r="A152" t="s">
        <v>159</v>
      </c>
      <c r="B152" t="s">
        <v>764</v>
      </c>
      <c r="C152" t="s">
        <v>750</v>
      </c>
      <c r="D152">
        <v>4</v>
      </c>
      <c r="E152" t="s">
        <v>752</v>
      </c>
      <c r="F152" t="s">
        <v>779</v>
      </c>
      <c r="G152" t="str">
        <f t="shared" si="14"/>
        <v>B</v>
      </c>
      <c r="H152">
        <f>_xlfn.XLOOKUP(Table2[[#This Row],[Zone]],Table1[Row],Table1[Max Bay],_xleta.NA,0)</f>
        <v>12</v>
      </c>
      <c r="I152" s="1" t="str">
        <f t="shared" si="10"/>
        <v>12</v>
      </c>
      <c r="J152">
        <f t="shared" si="11"/>
        <v>4</v>
      </c>
      <c r="K152" t="str">
        <f>_xlfn.XLOOKUP(Table2[[#This Row],[Row]],Table1[Row],Table1[StartSide],0)</f>
        <v>L</v>
      </c>
      <c r="L152" t="str">
        <f t="shared" si="12"/>
        <v>R</v>
      </c>
      <c r="M152" t="str">
        <f t="shared" si="13"/>
        <v>PS1_B12_4_R</v>
      </c>
    </row>
    <row r="153" spans="1:13" x14ac:dyDescent="0.25">
      <c r="A153" t="s">
        <v>160</v>
      </c>
      <c r="B153" t="s">
        <v>764</v>
      </c>
      <c r="C153" t="s">
        <v>750</v>
      </c>
      <c r="D153">
        <v>5</v>
      </c>
      <c r="E153" t="s">
        <v>751</v>
      </c>
      <c r="F153" t="s">
        <v>779</v>
      </c>
      <c r="G153" t="str">
        <f t="shared" si="14"/>
        <v>B</v>
      </c>
      <c r="H153">
        <f>_xlfn.XLOOKUP(Table2[[#This Row],[Zone]],Table1[Row],Table1[Max Bay],_xleta.NA,0)</f>
        <v>12</v>
      </c>
      <c r="I153" s="1" t="str">
        <f t="shared" si="10"/>
        <v>12</v>
      </c>
      <c r="J153">
        <f t="shared" si="11"/>
        <v>5</v>
      </c>
      <c r="K153" t="str">
        <f>_xlfn.XLOOKUP(Table2[[#This Row],[Row]],Table1[Row],Table1[StartSide],0)</f>
        <v>L</v>
      </c>
      <c r="L153" t="str">
        <f t="shared" si="12"/>
        <v>L</v>
      </c>
      <c r="M153" t="str">
        <f t="shared" si="13"/>
        <v>PS1_B12_5_L</v>
      </c>
    </row>
    <row r="154" spans="1:13" x14ac:dyDescent="0.25">
      <c r="A154" t="s">
        <v>161</v>
      </c>
      <c r="B154" t="s">
        <v>764</v>
      </c>
      <c r="C154" t="s">
        <v>750</v>
      </c>
      <c r="D154">
        <v>5</v>
      </c>
      <c r="E154" t="s">
        <v>752</v>
      </c>
      <c r="F154" t="s">
        <v>779</v>
      </c>
      <c r="G154" t="str">
        <f t="shared" si="14"/>
        <v>B</v>
      </c>
      <c r="H154">
        <f>_xlfn.XLOOKUP(Table2[[#This Row],[Zone]],Table1[Row],Table1[Max Bay],_xleta.NA,0)</f>
        <v>12</v>
      </c>
      <c r="I154" s="1" t="str">
        <f t="shared" si="10"/>
        <v>12</v>
      </c>
      <c r="J154">
        <f t="shared" si="11"/>
        <v>5</v>
      </c>
      <c r="K154" t="str">
        <f>_xlfn.XLOOKUP(Table2[[#This Row],[Row]],Table1[Row],Table1[StartSide],0)</f>
        <v>L</v>
      </c>
      <c r="L154" t="str">
        <f t="shared" si="12"/>
        <v>R</v>
      </c>
      <c r="M154" t="str">
        <f t="shared" si="13"/>
        <v>PS1_B12_5_R</v>
      </c>
    </row>
    <row r="155" spans="1:13" x14ac:dyDescent="0.25">
      <c r="A155" t="s">
        <v>162</v>
      </c>
      <c r="B155" t="s">
        <v>764</v>
      </c>
      <c r="C155" t="s">
        <v>750</v>
      </c>
      <c r="D155">
        <v>6</v>
      </c>
      <c r="E155" t="s">
        <v>751</v>
      </c>
      <c r="F155" t="s">
        <v>779</v>
      </c>
      <c r="G155" t="str">
        <f t="shared" si="14"/>
        <v>B</v>
      </c>
      <c r="H155">
        <f>_xlfn.XLOOKUP(Table2[[#This Row],[Zone]],Table1[Row],Table1[Max Bay],_xleta.NA,0)</f>
        <v>12</v>
      </c>
      <c r="I155" s="1" t="str">
        <f t="shared" si="10"/>
        <v>12</v>
      </c>
      <c r="J155">
        <f t="shared" si="11"/>
        <v>6</v>
      </c>
      <c r="K155" t="str">
        <f>_xlfn.XLOOKUP(Table2[[#This Row],[Row]],Table1[Row],Table1[StartSide],0)</f>
        <v>L</v>
      </c>
      <c r="L155" t="str">
        <f t="shared" si="12"/>
        <v>L</v>
      </c>
      <c r="M155" t="str">
        <f t="shared" si="13"/>
        <v>PS1_B12_6_L</v>
      </c>
    </row>
    <row r="156" spans="1:13" x14ac:dyDescent="0.25">
      <c r="A156" t="s">
        <v>163</v>
      </c>
      <c r="B156" t="s">
        <v>764</v>
      </c>
      <c r="C156" t="s">
        <v>750</v>
      </c>
      <c r="D156">
        <v>6</v>
      </c>
      <c r="E156" t="s">
        <v>752</v>
      </c>
      <c r="F156" t="s">
        <v>779</v>
      </c>
      <c r="G156" t="str">
        <f t="shared" si="14"/>
        <v>B</v>
      </c>
      <c r="H156">
        <f>_xlfn.XLOOKUP(Table2[[#This Row],[Zone]],Table1[Row],Table1[Max Bay],_xleta.NA,0)</f>
        <v>12</v>
      </c>
      <c r="I156" s="1" t="str">
        <f t="shared" si="10"/>
        <v>12</v>
      </c>
      <c r="J156">
        <f t="shared" si="11"/>
        <v>6</v>
      </c>
      <c r="K156" t="str">
        <f>_xlfn.XLOOKUP(Table2[[#This Row],[Row]],Table1[Row],Table1[StartSide],0)</f>
        <v>L</v>
      </c>
      <c r="L156" t="str">
        <f t="shared" si="12"/>
        <v>R</v>
      </c>
      <c r="M156" t="str">
        <f t="shared" si="13"/>
        <v>PS1_B12_6_R</v>
      </c>
    </row>
    <row r="157" spans="1:13" x14ac:dyDescent="0.25">
      <c r="A157" t="s">
        <v>164</v>
      </c>
      <c r="B157" t="s">
        <v>764</v>
      </c>
      <c r="C157" t="s">
        <v>753</v>
      </c>
      <c r="D157">
        <v>1</v>
      </c>
      <c r="E157" t="s">
        <v>751</v>
      </c>
      <c r="F157" t="s">
        <v>779</v>
      </c>
      <c r="G157" t="str">
        <f t="shared" si="14"/>
        <v>B</v>
      </c>
      <c r="H157">
        <f>_xlfn.XLOOKUP(Table2[[#This Row],[Zone]],Table1[Row],Table1[Max Bay],_xleta.NA,0)</f>
        <v>12</v>
      </c>
      <c r="I157" s="1" t="str">
        <f t="shared" si="10"/>
        <v>11</v>
      </c>
      <c r="J157">
        <f t="shared" si="11"/>
        <v>1</v>
      </c>
      <c r="K157" t="str">
        <f>_xlfn.XLOOKUP(Table2[[#This Row],[Row]],Table1[Row],Table1[StartSide],0)</f>
        <v>L</v>
      </c>
      <c r="L157" t="str">
        <f t="shared" si="12"/>
        <v>L</v>
      </c>
      <c r="M157" t="str">
        <f t="shared" si="13"/>
        <v>PS1_B11_1_L</v>
      </c>
    </row>
    <row r="158" spans="1:13" x14ac:dyDescent="0.25">
      <c r="A158" t="s">
        <v>165</v>
      </c>
      <c r="B158" t="s">
        <v>764</v>
      </c>
      <c r="C158" t="s">
        <v>753</v>
      </c>
      <c r="D158">
        <v>1</v>
      </c>
      <c r="E158" t="s">
        <v>752</v>
      </c>
      <c r="F158" t="s">
        <v>779</v>
      </c>
      <c r="G158" t="str">
        <f t="shared" si="14"/>
        <v>B</v>
      </c>
      <c r="H158">
        <f>_xlfn.XLOOKUP(Table2[[#This Row],[Zone]],Table1[Row],Table1[Max Bay],_xleta.NA,0)</f>
        <v>12</v>
      </c>
      <c r="I158" s="1" t="str">
        <f t="shared" si="10"/>
        <v>11</v>
      </c>
      <c r="J158">
        <f t="shared" si="11"/>
        <v>1</v>
      </c>
      <c r="K158" t="str">
        <f>_xlfn.XLOOKUP(Table2[[#This Row],[Row]],Table1[Row],Table1[StartSide],0)</f>
        <v>L</v>
      </c>
      <c r="L158" t="str">
        <f t="shared" si="12"/>
        <v>R</v>
      </c>
      <c r="M158" t="str">
        <f t="shared" si="13"/>
        <v>PS1_B11_1_R</v>
      </c>
    </row>
    <row r="159" spans="1:13" x14ac:dyDescent="0.25">
      <c r="A159" t="s">
        <v>166</v>
      </c>
      <c r="B159" t="s">
        <v>764</v>
      </c>
      <c r="C159" t="s">
        <v>753</v>
      </c>
      <c r="D159">
        <v>2</v>
      </c>
      <c r="E159" t="s">
        <v>751</v>
      </c>
      <c r="F159" t="s">
        <v>779</v>
      </c>
      <c r="G159" t="str">
        <f t="shared" si="14"/>
        <v>B</v>
      </c>
      <c r="H159">
        <f>_xlfn.XLOOKUP(Table2[[#This Row],[Zone]],Table1[Row],Table1[Max Bay],_xleta.NA,0)</f>
        <v>12</v>
      </c>
      <c r="I159" s="1" t="str">
        <f t="shared" si="10"/>
        <v>11</v>
      </c>
      <c r="J159">
        <f t="shared" si="11"/>
        <v>2</v>
      </c>
      <c r="K159" t="str">
        <f>_xlfn.XLOOKUP(Table2[[#This Row],[Row]],Table1[Row],Table1[StartSide],0)</f>
        <v>L</v>
      </c>
      <c r="L159" t="str">
        <f t="shared" si="12"/>
        <v>L</v>
      </c>
      <c r="M159" t="str">
        <f t="shared" si="13"/>
        <v>PS1_B11_2_L</v>
      </c>
    </row>
    <row r="160" spans="1:13" x14ac:dyDescent="0.25">
      <c r="A160" t="s">
        <v>167</v>
      </c>
      <c r="B160" t="s">
        <v>764</v>
      </c>
      <c r="C160" t="s">
        <v>753</v>
      </c>
      <c r="D160">
        <v>2</v>
      </c>
      <c r="E160" t="s">
        <v>752</v>
      </c>
      <c r="F160" t="s">
        <v>779</v>
      </c>
      <c r="G160" t="str">
        <f t="shared" si="14"/>
        <v>B</v>
      </c>
      <c r="H160">
        <f>_xlfn.XLOOKUP(Table2[[#This Row],[Zone]],Table1[Row],Table1[Max Bay],_xleta.NA,0)</f>
        <v>12</v>
      </c>
      <c r="I160" s="1" t="str">
        <f t="shared" si="10"/>
        <v>11</v>
      </c>
      <c r="J160">
        <f t="shared" si="11"/>
        <v>2</v>
      </c>
      <c r="K160" t="str">
        <f>_xlfn.XLOOKUP(Table2[[#This Row],[Row]],Table1[Row],Table1[StartSide],0)</f>
        <v>L</v>
      </c>
      <c r="L160" t="str">
        <f t="shared" si="12"/>
        <v>R</v>
      </c>
      <c r="M160" t="str">
        <f t="shared" si="13"/>
        <v>PS1_B11_2_R</v>
      </c>
    </row>
    <row r="161" spans="1:13" x14ac:dyDescent="0.25">
      <c r="A161" t="s">
        <v>168</v>
      </c>
      <c r="B161" t="s">
        <v>764</v>
      </c>
      <c r="C161" t="s">
        <v>753</v>
      </c>
      <c r="D161">
        <v>3</v>
      </c>
      <c r="E161" t="s">
        <v>751</v>
      </c>
      <c r="F161" t="s">
        <v>779</v>
      </c>
      <c r="G161" t="str">
        <f t="shared" si="14"/>
        <v>B</v>
      </c>
      <c r="H161">
        <f>_xlfn.XLOOKUP(Table2[[#This Row],[Zone]],Table1[Row],Table1[Max Bay],_xleta.NA,0)</f>
        <v>12</v>
      </c>
      <c r="I161" s="1" t="str">
        <f t="shared" si="10"/>
        <v>11</v>
      </c>
      <c r="J161">
        <f t="shared" si="11"/>
        <v>3</v>
      </c>
      <c r="K161" t="str">
        <f>_xlfn.XLOOKUP(Table2[[#This Row],[Row]],Table1[Row],Table1[StartSide],0)</f>
        <v>L</v>
      </c>
      <c r="L161" t="str">
        <f t="shared" si="12"/>
        <v>L</v>
      </c>
      <c r="M161" t="str">
        <f t="shared" si="13"/>
        <v>PS1_B11_3_L</v>
      </c>
    </row>
    <row r="162" spans="1:13" x14ac:dyDescent="0.25">
      <c r="A162" t="s">
        <v>169</v>
      </c>
      <c r="B162" t="s">
        <v>764</v>
      </c>
      <c r="C162" t="s">
        <v>753</v>
      </c>
      <c r="D162">
        <v>3</v>
      </c>
      <c r="E162" t="s">
        <v>752</v>
      </c>
      <c r="F162" t="s">
        <v>779</v>
      </c>
      <c r="G162" t="str">
        <f t="shared" si="14"/>
        <v>B</v>
      </c>
      <c r="H162">
        <f>_xlfn.XLOOKUP(Table2[[#This Row],[Zone]],Table1[Row],Table1[Max Bay],_xleta.NA,0)</f>
        <v>12</v>
      </c>
      <c r="I162" s="1" t="str">
        <f t="shared" si="10"/>
        <v>11</v>
      </c>
      <c r="J162">
        <f t="shared" si="11"/>
        <v>3</v>
      </c>
      <c r="K162" t="str">
        <f>_xlfn.XLOOKUP(Table2[[#This Row],[Row]],Table1[Row],Table1[StartSide],0)</f>
        <v>L</v>
      </c>
      <c r="L162" t="str">
        <f t="shared" si="12"/>
        <v>R</v>
      </c>
      <c r="M162" t="str">
        <f t="shared" si="13"/>
        <v>PS1_B11_3_R</v>
      </c>
    </row>
    <row r="163" spans="1:13" x14ac:dyDescent="0.25">
      <c r="A163" t="s">
        <v>170</v>
      </c>
      <c r="B163" t="s">
        <v>764</v>
      </c>
      <c r="C163" t="s">
        <v>753</v>
      </c>
      <c r="D163">
        <v>4</v>
      </c>
      <c r="E163" t="s">
        <v>751</v>
      </c>
      <c r="F163" t="s">
        <v>779</v>
      </c>
      <c r="G163" t="str">
        <f t="shared" si="14"/>
        <v>B</v>
      </c>
      <c r="H163">
        <f>_xlfn.XLOOKUP(Table2[[#This Row],[Zone]],Table1[Row],Table1[Max Bay],_xleta.NA,0)</f>
        <v>12</v>
      </c>
      <c r="I163" s="1" t="str">
        <f t="shared" si="10"/>
        <v>11</v>
      </c>
      <c r="J163">
        <f t="shared" si="11"/>
        <v>4</v>
      </c>
      <c r="K163" t="str">
        <f>_xlfn.XLOOKUP(Table2[[#This Row],[Row]],Table1[Row],Table1[StartSide],0)</f>
        <v>L</v>
      </c>
      <c r="L163" t="str">
        <f t="shared" si="12"/>
        <v>L</v>
      </c>
      <c r="M163" t="str">
        <f t="shared" si="13"/>
        <v>PS1_B11_4_L</v>
      </c>
    </row>
    <row r="164" spans="1:13" x14ac:dyDescent="0.25">
      <c r="A164" t="s">
        <v>171</v>
      </c>
      <c r="B164" t="s">
        <v>764</v>
      </c>
      <c r="C164" t="s">
        <v>753</v>
      </c>
      <c r="D164">
        <v>4</v>
      </c>
      <c r="E164" t="s">
        <v>752</v>
      </c>
      <c r="F164" t="s">
        <v>779</v>
      </c>
      <c r="G164" t="str">
        <f t="shared" si="14"/>
        <v>B</v>
      </c>
      <c r="H164">
        <f>_xlfn.XLOOKUP(Table2[[#This Row],[Zone]],Table1[Row],Table1[Max Bay],_xleta.NA,0)</f>
        <v>12</v>
      </c>
      <c r="I164" s="1" t="str">
        <f t="shared" si="10"/>
        <v>11</v>
      </c>
      <c r="J164">
        <f t="shared" si="11"/>
        <v>4</v>
      </c>
      <c r="K164" t="str">
        <f>_xlfn.XLOOKUP(Table2[[#This Row],[Row]],Table1[Row],Table1[StartSide],0)</f>
        <v>L</v>
      </c>
      <c r="L164" t="str">
        <f t="shared" si="12"/>
        <v>R</v>
      </c>
      <c r="M164" t="str">
        <f t="shared" si="13"/>
        <v>PS1_B11_4_R</v>
      </c>
    </row>
    <row r="165" spans="1:13" x14ac:dyDescent="0.25">
      <c r="A165" t="s">
        <v>172</v>
      </c>
      <c r="B165" t="s">
        <v>764</v>
      </c>
      <c r="C165" t="s">
        <v>753</v>
      </c>
      <c r="D165">
        <v>5</v>
      </c>
      <c r="E165" t="s">
        <v>751</v>
      </c>
      <c r="F165" t="s">
        <v>779</v>
      </c>
      <c r="G165" t="str">
        <f t="shared" si="14"/>
        <v>B</v>
      </c>
      <c r="H165">
        <f>_xlfn.XLOOKUP(Table2[[#This Row],[Zone]],Table1[Row],Table1[Max Bay],_xleta.NA,0)</f>
        <v>12</v>
      </c>
      <c r="I165" s="1" t="str">
        <f t="shared" si="10"/>
        <v>11</v>
      </c>
      <c r="J165">
        <f t="shared" si="11"/>
        <v>5</v>
      </c>
      <c r="K165" t="str">
        <f>_xlfn.XLOOKUP(Table2[[#This Row],[Row]],Table1[Row],Table1[StartSide],0)</f>
        <v>L</v>
      </c>
      <c r="L165" t="str">
        <f t="shared" si="12"/>
        <v>L</v>
      </c>
      <c r="M165" t="str">
        <f t="shared" si="13"/>
        <v>PS1_B11_5_L</v>
      </c>
    </row>
    <row r="166" spans="1:13" x14ac:dyDescent="0.25">
      <c r="A166" t="s">
        <v>173</v>
      </c>
      <c r="B166" t="s">
        <v>764</v>
      </c>
      <c r="C166" t="s">
        <v>753</v>
      </c>
      <c r="D166">
        <v>5</v>
      </c>
      <c r="E166" t="s">
        <v>752</v>
      </c>
      <c r="F166" t="s">
        <v>779</v>
      </c>
      <c r="G166" t="str">
        <f t="shared" si="14"/>
        <v>B</v>
      </c>
      <c r="H166">
        <f>_xlfn.XLOOKUP(Table2[[#This Row],[Zone]],Table1[Row],Table1[Max Bay],_xleta.NA,0)</f>
        <v>12</v>
      </c>
      <c r="I166" s="1" t="str">
        <f t="shared" si="10"/>
        <v>11</v>
      </c>
      <c r="J166">
        <f t="shared" si="11"/>
        <v>5</v>
      </c>
      <c r="K166" t="str">
        <f>_xlfn.XLOOKUP(Table2[[#This Row],[Row]],Table1[Row],Table1[StartSide],0)</f>
        <v>L</v>
      </c>
      <c r="L166" t="str">
        <f t="shared" si="12"/>
        <v>R</v>
      </c>
      <c r="M166" t="str">
        <f t="shared" si="13"/>
        <v>PS1_B11_5_R</v>
      </c>
    </row>
    <row r="167" spans="1:13" x14ac:dyDescent="0.25">
      <c r="A167" t="s">
        <v>174</v>
      </c>
      <c r="B167" t="s">
        <v>764</v>
      </c>
      <c r="C167" t="s">
        <v>753</v>
      </c>
      <c r="D167">
        <v>6</v>
      </c>
      <c r="E167" t="s">
        <v>751</v>
      </c>
      <c r="F167" t="s">
        <v>779</v>
      </c>
      <c r="G167" t="str">
        <f t="shared" si="14"/>
        <v>B</v>
      </c>
      <c r="H167">
        <f>_xlfn.XLOOKUP(Table2[[#This Row],[Zone]],Table1[Row],Table1[Max Bay],_xleta.NA,0)</f>
        <v>12</v>
      </c>
      <c r="I167" s="1" t="str">
        <f t="shared" si="10"/>
        <v>11</v>
      </c>
      <c r="J167">
        <f t="shared" si="11"/>
        <v>6</v>
      </c>
      <c r="K167" t="str">
        <f>_xlfn.XLOOKUP(Table2[[#This Row],[Row]],Table1[Row],Table1[StartSide],0)</f>
        <v>L</v>
      </c>
      <c r="L167" t="str">
        <f t="shared" si="12"/>
        <v>L</v>
      </c>
      <c r="M167" t="str">
        <f t="shared" si="13"/>
        <v>PS1_B11_6_L</v>
      </c>
    </row>
    <row r="168" spans="1:13" x14ac:dyDescent="0.25">
      <c r="A168" t="s">
        <v>175</v>
      </c>
      <c r="B168" t="s">
        <v>764</v>
      </c>
      <c r="C168" t="s">
        <v>753</v>
      </c>
      <c r="D168">
        <v>6</v>
      </c>
      <c r="E168" t="s">
        <v>752</v>
      </c>
      <c r="F168" t="s">
        <v>779</v>
      </c>
      <c r="G168" t="str">
        <f t="shared" si="14"/>
        <v>B</v>
      </c>
      <c r="H168">
        <f>_xlfn.XLOOKUP(Table2[[#This Row],[Zone]],Table1[Row],Table1[Max Bay],_xleta.NA,0)</f>
        <v>12</v>
      </c>
      <c r="I168" s="1" t="str">
        <f t="shared" si="10"/>
        <v>11</v>
      </c>
      <c r="J168">
        <f t="shared" si="11"/>
        <v>6</v>
      </c>
      <c r="K168" t="str">
        <f>_xlfn.XLOOKUP(Table2[[#This Row],[Row]],Table1[Row],Table1[StartSide],0)</f>
        <v>L</v>
      </c>
      <c r="L168" t="str">
        <f t="shared" si="12"/>
        <v>R</v>
      </c>
      <c r="M168" t="str">
        <f t="shared" si="13"/>
        <v>PS1_B11_6_R</v>
      </c>
    </row>
    <row r="169" spans="1:13" x14ac:dyDescent="0.25">
      <c r="A169" t="s">
        <v>176</v>
      </c>
      <c r="B169" t="s">
        <v>764</v>
      </c>
      <c r="C169" t="s">
        <v>754</v>
      </c>
      <c r="D169">
        <v>1</v>
      </c>
      <c r="E169" t="s">
        <v>751</v>
      </c>
      <c r="F169" t="s">
        <v>779</v>
      </c>
      <c r="G169" t="str">
        <f t="shared" si="14"/>
        <v>B</v>
      </c>
      <c r="H169">
        <f>_xlfn.XLOOKUP(Table2[[#This Row],[Zone]],Table1[Row],Table1[Max Bay],_xleta.NA,0)</f>
        <v>12</v>
      </c>
      <c r="I169" s="1" t="str">
        <f t="shared" si="10"/>
        <v>10</v>
      </c>
      <c r="J169">
        <f t="shared" si="11"/>
        <v>1</v>
      </c>
      <c r="K169" t="str">
        <f>_xlfn.XLOOKUP(Table2[[#This Row],[Row]],Table1[Row],Table1[StartSide],0)</f>
        <v>L</v>
      </c>
      <c r="L169" t="str">
        <f t="shared" si="12"/>
        <v>L</v>
      </c>
      <c r="M169" t="str">
        <f t="shared" si="13"/>
        <v>PS1_B10_1_L</v>
      </c>
    </row>
    <row r="170" spans="1:13" x14ac:dyDescent="0.25">
      <c r="A170" t="s">
        <v>177</v>
      </c>
      <c r="B170" t="s">
        <v>764</v>
      </c>
      <c r="C170" t="s">
        <v>754</v>
      </c>
      <c r="D170">
        <v>1</v>
      </c>
      <c r="E170" t="s">
        <v>752</v>
      </c>
      <c r="F170" t="s">
        <v>779</v>
      </c>
      <c r="G170" t="str">
        <f t="shared" si="14"/>
        <v>B</v>
      </c>
      <c r="H170">
        <f>_xlfn.XLOOKUP(Table2[[#This Row],[Zone]],Table1[Row],Table1[Max Bay],_xleta.NA,0)</f>
        <v>12</v>
      </c>
      <c r="I170" s="1" t="str">
        <f t="shared" si="10"/>
        <v>10</v>
      </c>
      <c r="J170">
        <f t="shared" si="11"/>
        <v>1</v>
      </c>
      <c r="K170" t="str">
        <f>_xlfn.XLOOKUP(Table2[[#This Row],[Row]],Table1[Row],Table1[StartSide],0)</f>
        <v>L</v>
      </c>
      <c r="L170" t="str">
        <f t="shared" si="12"/>
        <v>R</v>
      </c>
      <c r="M170" t="str">
        <f t="shared" si="13"/>
        <v>PS1_B10_1_R</v>
      </c>
    </row>
    <row r="171" spans="1:13" x14ac:dyDescent="0.25">
      <c r="A171" t="s">
        <v>178</v>
      </c>
      <c r="B171" t="s">
        <v>764</v>
      </c>
      <c r="C171" t="s">
        <v>754</v>
      </c>
      <c r="D171">
        <v>2</v>
      </c>
      <c r="E171" t="s">
        <v>751</v>
      </c>
      <c r="F171" t="s">
        <v>779</v>
      </c>
      <c r="G171" t="str">
        <f t="shared" si="14"/>
        <v>B</v>
      </c>
      <c r="H171">
        <f>_xlfn.XLOOKUP(Table2[[#This Row],[Zone]],Table1[Row],Table1[Max Bay],_xleta.NA,0)</f>
        <v>12</v>
      </c>
      <c r="I171" s="1" t="str">
        <f t="shared" si="10"/>
        <v>10</v>
      </c>
      <c r="J171">
        <f t="shared" si="11"/>
        <v>2</v>
      </c>
      <c r="K171" t="str">
        <f>_xlfn.XLOOKUP(Table2[[#This Row],[Row]],Table1[Row],Table1[StartSide],0)</f>
        <v>L</v>
      </c>
      <c r="L171" t="str">
        <f t="shared" si="12"/>
        <v>L</v>
      </c>
      <c r="M171" t="str">
        <f t="shared" si="13"/>
        <v>PS1_B10_2_L</v>
      </c>
    </row>
    <row r="172" spans="1:13" x14ac:dyDescent="0.25">
      <c r="A172" t="s">
        <v>179</v>
      </c>
      <c r="B172" t="s">
        <v>764</v>
      </c>
      <c r="C172" t="s">
        <v>754</v>
      </c>
      <c r="D172">
        <v>2</v>
      </c>
      <c r="E172" t="s">
        <v>752</v>
      </c>
      <c r="F172" t="s">
        <v>779</v>
      </c>
      <c r="G172" t="str">
        <f t="shared" si="14"/>
        <v>B</v>
      </c>
      <c r="H172">
        <f>_xlfn.XLOOKUP(Table2[[#This Row],[Zone]],Table1[Row],Table1[Max Bay],_xleta.NA,0)</f>
        <v>12</v>
      </c>
      <c r="I172" s="1" t="str">
        <f t="shared" si="10"/>
        <v>10</v>
      </c>
      <c r="J172">
        <f t="shared" si="11"/>
        <v>2</v>
      </c>
      <c r="K172" t="str">
        <f>_xlfn.XLOOKUP(Table2[[#This Row],[Row]],Table1[Row],Table1[StartSide],0)</f>
        <v>L</v>
      </c>
      <c r="L172" t="str">
        <f t="shared" si="12"/>
        <v>R</v>
      </c>
      <c r="M172" t="str">
        <f t="shared" si="13"/>
        <v>PS1_B10_2_R</v>
      </c>
    </row>
    <row r="173" spans="1:13" x14ac:dyDescent="0.25">
      <c r="A173" t="s">
        <v>180</v>
      </c>
      <c r="B173" t="s">
        <v>764</v>
      </c>
      <c r="C173" t="s">
        <v>754</v>
      </c>
      <c r="D173">
        <v>3</v>
      </c>
      <c r="E173" t="s">
        <v>751</v>
      </c>
      <c r="F173" t="s">
        <v>779</v>
      </c>
      <c r="G173" t="str">
        <f t="shared" si="14"/>
        <v>B</v>
      </c>
      <c r="H173">
        <f>_xlfn.XLOOKUP(Table2[[#This Row],[Zone]],Table1[Row],Table1[Max Bay],_xleta.NA,0)</f>
        <v>12</v>
      </c>
      <c r="I173" s="1" t="str">
        <f t="shared" si="10"/>
        <v>10</v>
      </c>
      <c r="J173">
        <f t="shared" si="11"/>
        <v>3</v>
      </c>
      <c r="K173" t="str">
        <f>_xlfn.XLOOKUP(Table2[[#This Row],[Row]],Table1[Row],Table1[StartSide],0)</f>
        <v>L</v>
      </c>
      <c r="L173" t="str">
        <f t="shared" si="12"/>
        <v>L</v>
      </c>
      <c r="M173" t="str">
        <f t="shared" si="13"/>
        <v>PS1_B10_3_L</v>
      </c>
    </row>
    <row r="174" spans="1:13" x14ac:dyDescent="0.25">
      <c r="A174" t="s">
        <v>181</v>
      </c>
      <c r="B174" t="s">
        <v>764</v>
      </c>
      <c r="C174" t="s">
        <v>754</v>
      </c>
      <c r="D174">
        <v>3</v>
      </c>
      <c r="E174" t="s">
        <v>752</v>
      </c>
      <c r="F174" t="s">
        <v>779</v>
      </c>
      <c r="G174" t="str">
        <f t="shared" si="14"/>
        <v>B</v>
      </c>
      <c r="H174">
        <f>_xlfn.XLOOKUP(Table2[[#This Row],[Zone]],Table1[Row],Table1[Max Bay],_xleta.NA,0)</f>
        <v>12</v>
      </c>
      <c r="I174" s="1" t="str">
        <f t="shared" si="10"/>
        <v>10</v>
      </c>
      <c r="J174">
        <f t="shared" si="11"/>
        <v>3</v>
      </c>
      <c r="K174" t="str">
        <f>_xlfn.XLOOKUP(Table2[[#This Row],[Row]],Table1[Row],Table1[StartSide],0)</f>
        <v>L</v>
      </c>
      <c r="L174" t="str">
        <f t="shared" si="12"/>
        <v>R</v>
      </c>
      <c r="M174" t="str">
        <f t="shared" si="13"/>
        <v>PS1_B10_3_R</v>
      </c>
    </row>
    <row r="175" spans="1:13" x14ac:dyDescent="0.25">
      <c r="A175" t="s">
        <v>182</v>
      </c>
      <c r="B175" t="s">
        <v>764</v>
      </c>
      <c r="C175" t="s">
        <v>754</v>
      </c>
      <c r="D175">
        <v>4</v>
      </c>
      <c r="E175" t="s">
        <v>751</v>
      </c>
      <c r="F175" t="s">
        <v>779</v>
      </c>
      <c r="G175" t="str">
        <f t="shared" si="14"/>
        <v>B</v>
      </c>
      <c r="H175">
        <f>_xlfn.XLOOKUP(Table2[[#This Row],[Zone]],Table1[Row],Table1[Max Bay],_xleta.NA,0)</f>
        <v>12</v>
      </c>
      <c r="I175" s="1" t="str">
        <f t="shared" si="10"/>
        <v>10</v>
      </c>
      <c r="J175">
        <f t="shared" si="11"/>
        <v>4</v>
      </c>
      <c r="K175" t="str">
        <f>_xlfn.XLOOKUP(Table2[[#This Row],[Row]],Table1[Row],Table1[StartSide],0)</f>
        <v>L</v>
      </c>
      <c r="L175" t="str">
        <f t="shared" si="12"/>
        <v>L</v>
      </c>
      <c r="M175" t="str">
        <f t="shared" si="13"/>
        <v>PS1_B10_4_L</v>
      </c>
    </row>
    <row r="176" spans="1:13" x14ac:dyDescent="0.25">
      <c r="A176" t="s">
        <v>183</v>
      </c>
      <c r="B176" t="s">
        <v>764</v>
      </c>
      <c r="C176" t="s">
        <v>754</v>
      </c>
      <c r="D176">
        <v>4</v>
      </c>
      <c r="E176" t="s">
        <v>752</v>
      </c>
      <c r="F176" t="s">
        <v>779</v>
      </c>
      <c r="G176" t="str">
        <f t="shared" si="14"/>
        <v>B</v>
      </c>
      <c r="H176">
        <f>_xlfn.XLOOKUP(Table2[[#This Row],[Zone]],Table1[Row],Table1[Max Bay],_xleta.NA,0)</f>
        <v>12</v>
      </c>
      <c r="I176" s="1" t="str">
        <f t="shared" si="10"/>
        <v>10</v>
      </c>
      <c r="J176">
        <f t="shared" si="11"/>
        <v>4</v>
      </c>
      <c r="K176" t="str">
        <f>_xlfn.XLOOKUP(Table2[[#This Row],[Row]],Table1[Row],Table1[StartSide],0)</f>
        <v>L</v>
      </c>
      <c r="L176" t="str">
        <f t="shared" si="12"/>
        <v>R</v>
      </c>
      <c r="M176" t="str">
        <f t="shared" si="13"/>
        <v>PS1_B10_4_R</v>
      </c>
    </row>
    <row r="177" spans="1:13" x14ac:dyDescent="0.25">
      <c r="A177" t="s">
        <v>184</v>
      </c>
      <c r="B177" t="s">
        <v>764</v>
      </c>
      <c r="C177" t="s">
        <v>754</v>
      </c>
      <c r="D177">
        <v>5</v>
      </c>
      <c r="E177" t="s">
        <v>751</v>
      </c>
      <c r="F177" t="s">
        <v>779</v>
      </c>
      <c r="G177" t="str">
        <f t="shared" si="14"/>
        <v>B</v>
      </c>
      <c r="H177">
        <f>_xlfn.XLOOKUP(Table2[[#This Row],[Zone]],Table1[Row],Table1[Max Bay],_xleta.NA,0)</f>
        <v>12</v>
      </c>
      <c r="I177" s="1" t="str">
        <f t="shared" si="10"/>
        <v>10</v>
      </c>
      <c r="J177">
        <f t="shared" si="11"/>
        <v>5</v>
      </c>
      <c r="K177" t="str">
        <f>_xlfn.XLOOKUP(Table2[[#This Row],[Row]],Table1[Row],Table1[StartSide],0)</f>
        <v>L</v>
      </c>
      <c r="L177" t="str">
        <f t="shared" si="12"/>
        <v>L</v>
      </c>
      <c r="M177" t="str">
        <f t="shared" si="13"/>
        <v>PS1_B10_5_L</v>
      </c>
    </row>
    <row r="178" spans="1:13" x14ac:dyDescent="0.25">
      <c r="A178" t="s">
        <v>185</v>
      </c>
      <c r="B178" t="s">
        <v>764</v>
      </c>
      <c r="C178" t="s">
        <v>754</v>
      </c>
      <c r="D178">
        <v>5</v>
      </c>
      <c r="E178" t="s">
        <v>752</v>
      </c>
      <c r="F178" t="s">
        <v>779</v>
      </c>
      <c r="G178" t="str">
        <f t="shared" si="14"/>
        <v>B</v>
      </c>
      <c r="H178">
        <f>_xlfn.XLOOKUP(Table2[[#This Row],[Zone]],Table1[Row],Table1[Max Bay],_xleta.NA,0)</f>
        <v>12</v>
      </c>
      <c r="I178" s="1" t="str">
        <f t="shared" si="10"/>
        <v>10</v>
      </c>
      <c r="J178">
        <f t="shared" si="11"/>
        <v>5</v>
      </c>
      <c r="K178" t="str">
        <f>_xlfn.XLOOKUP(Table2[[#This Row],[Row]],Table1[Row],Table1[StartSide],0)</f>
        <v>L</v>
      </c>
      <c r="L178" t="str">
        <f t="shared" si="12"/>
        <v>R</v>
      </c>
      <c r="M178" t="str">
        <f t="shared" si="13"/>
        <v>PS1_B10_5_R</v>
      </c>
    </row>
    <row r="179" spans="1:13" x14ac:dyDescent="0.25">
      <c r="A179" t="s">
        <v>186</v>
      </c>
      <c r="B179" t="s">
        <v>764</v>
      </c>
      <c r="C179" t="s">
        <v>754</v>
      </c>
      <c r="D179">
        <v>6</v>
      </c>
      <c r="E179" t="s">
        <v>751</v>
      </c>
      <c r="F179" t="s">
        <v>779</v>
      </c>
      <c r="G179" t="str">
        <f t="shared" si="14"/>
        <v>B</v>
      </c>
      <c r="H179">
        <f>_xlfn.XLOOKUP(Table2[[#This Row],[Zone]],Table1[Row],Table1[Max Bay],_xleta.NA,0)</f>
        <v>12</v>
      </c>
      <c r="I179" s="1" t="str">
        <f t="shared" si="10"/>
        <v>10</v>
      </c>
      <c r="J179">
        <f t="shared" si="11"/>
        <v>6</v>
      </c>
      <c r="K179" t="str">
        <f>_xlfn.XLOOKUP(Table2[[#This Row],[Row]],Table1[Row],Table1[StartSide],0)</f>
        <v>L</v>
      </c>
      <c r="L179" t="str">
        <f t="shared" si="12"/>
        <v>L</v>
      </c>
      <c r="M179" t="str">
        <f t="shared" si="13"/>
        <v>PS1_B10_6_L</v>
      </c>
    </row>
    <row r="180" spans="1:13" x14ac:dyDescent="0.25">
      <c r="A180" t="s">
        <v>187</v>
      </c>
      <c r="B180" t="s">
        <v>764</v>
      </c>
      <c r="C180" t="s">
        <v>754</v>
      </c>
      <c r="D180">
        <v>6</v>
      </c>
      <c r="E180" t="s">
        <v>752</v>
      </c>
      <c r="F180" t="s">
        <v>779</v>
      </c>
      <c r="G180" t="str">
        <f t="shared" si="14"/>
        <v>B</v>
      </c>
      <c r="H180">
        <f>_xlfn.XLOOKUP(Table2[[#This Row],[Zone]],Table1[Row],Table1[Max Bay],_xleta.NA,0)</f>
        <v>12</v>
      </c>
      <c r="I180" s="1" t="str">
        <f t="shared" si="10"/>
        <v>10</v>
      </c>
      <c r="J180">
        <f t="shared" si="11"/>
        <v>6</v>
      </c>
      <c r="K180" t="str">
        <f>_xlfn.XLOOKUP(Table2[[#This Row],[Row]],Table1[Row],Table1[StartSide],0)</f>
        <v>L</v>
      </c>
      <c r="L180" t="str">
        <f t="shared" si="12"/>
        <v>R</v>
      </c>
      <c r="M180" t="str">
        <f t="shared" si="13"/>
        <v>PS1_B10_6_R</v>
      </c>
    </row>
    <row r="181" spans="1:13" x14ac:dyDescent="0.25">
      <c r="A181" t="s">
        <v>188</v>
      </c>
      <c r="B181" t="s">
        <v>764</v>
      </c>
      <c r="C181" t="s">
        <v>755</v>
      </c>
      <c r="D181">
        <v>1</v>
      </c>
      <c r="E181" t="s">
        <v>751</v>
      </c>
      <c r="F181" t="s">
        <v>779</v>
      </c>
      <c r="G181" t="str">
        <f t="shared" si="14"/>
        <v>B</v>
      </c>
      <c r="H181">
        <f>_xlfn.XLOOKUP(Table2[[#This Row],[Zone]],Table1[Row],Table1[Max Bay],_xleta.NA,0)</f>
        <v>12</v>
      </c>
      <c r="I181" s="1" t="str">
        <f t="shared" si="10"/>
        <v>09</v>
      </c>
      <c r="J181">
        <f t="shared" si="11"/>
        <v>1</v>
      </c>
      <c r="K181" t="str">
        <f>_xlfn.XLOOKUP(Table2[[#This Row],[Row]],Table1[Row],Table1[StartSide],0)</f>
        <v>L</v>
      </c>
      <c r="L181" t="str">
        <f t="shared" si="12"/>
        <v>L</v>
      </c>
      <c r="M181" t="str">
        <f t="shared" si="13"/>
        <v>PS1_B09_1_L</v>
      </c>
    </row>
    <row r="182" spans="1:13" x14ac:dyDescent="0.25">
      <c r="A182" t="s">
        <v>189</v>
      </c>
      <c r="B182" t="s">
        <v>764</v>
      </c>
      <c r="C182" t="s">
        <v>755</v>
      </c>
      <c r="D182">
        <v>1</v>
      </c>
      <c r="E182" t="s">
        <v>752</v>
      </c>
      <c r="F182" t="s">
        <v>779</v>
      </c>
      <c r="G182" t="str">
        <f t="shared" si="14"/>
        <v>B</v>
      </c>
      <c r="H182">
        <f>_xlfn.XLOOKUP(Table2[[#This Row],[Zone]],Table1[Row],Table1[Max Bay],_xleta.NA,0)</f>
        <v>12</v>
      </c>
      <c r="I182" s="1" t="str">
        <f t="shared" si="10"/>
        <v>09</v>
      </c>
      <c r="J182">
        <f t="shared" si="11"/>
        <v>1</v>
      </c>
      <c r="K182" t="str">
        <f>_xlfn.XLOOKUP(Table2[[#This Row],[Row]],Table1[Row],Table1[StartSide],0)</f>
        <v>L</v>
      </c>
      <c r="L182" t="str">
        <f t="shared" si="12"/>
        <v>R</v>
      </c>
      <c r="M182" t="str">
        <f t="shared" si="13"/>
        <v>PS1_B09_1_R</v>
      </c>
    </row>
    <row r="183" spans="1:13" x14ac:dyDescent="0.25">
      <c r="A183" t="s">
        <v>190</v>
      </c>
      <c r="B183" t="s">
        <v>764</v>
      </c>
      <c r="C183" t="s">
        <v>755</v>
      </c>
      <c r="D183">
        <v>2</v>
      </c>
      <c r="E183" t="s">
        <v>751</v>
      </c>
      <c r="F183" t="s">
        <v>779</v>
      </c>
      <c r="G183" t="str">
        <f t="shared" si="14"/>
        <v>B</v>
      </c>
      <c r="H183">
        <f>_xlfn.XLOOKUP(Table2[[#This Row],[Zone]],Table1[Row],Table1[Max Bay],_xleta.NA,0)</f>
        <v>12</v>
      </c>
      <c r="I183" s="1" t="str">
        <f t="shared" si="10"/>
        <v>09</v>
      </c>
      <c r="J183">
        <f t="shared" si="11"/>
        <v>2</v>
      </c>
      <c r="K183" t="str">
        <f>_xlfn.XLOOKUP(Table2[[#This Row],[Row]],Table1[Row],Table1[StartSide],0)</f>
        <v>L</v>
      </c>
      <c r="L183" t="str">
        <f t="shared" si="12"/>
        <v>L</v>
      </c>
      <c r="M183" t="str">
        <f t="shared" si="13"/>
        <v>PS1_B09_2_L</v>
      </c>
    </row>
    <row r="184" spans="1:13" x14ac:dyDescent="0.25">
      <c r="A184" t="s">
        <v>191</v>
      </c>
      <c r="B184" t="s">
        <v>764</v>
      </c>
      <c r="C184" t="s">
        <v>755</v>
      </c>
      <c r="D184">
        <v>2</v>
      </c>
      <c r="E184" t="s">
        <v>752</v>
      </c>
      <c r="F184" t="s">
        <v>779</v>
      </c>
      <c r="G184" t="str">
        <f t="shared" si="14"/>
        <v>B</v>
      </c>
      <c r="H184">
        <f>_xlfn.XLOOKUP(Table2[[#This Row],[Zone]],Table1[Row],Table1[Max Bay],_xleta.NA,0)</f>
        <v>12</v>
      </c>
      <c r="I184" s="1" t="str">
        <f t="shared" si="10"/>
        <v>09</v>
      </c>
      <c r="J184">
        <f t="shared" si="11"/>
        <v>2</v>
      </c>
      <c r="K184" t="str">
        <f>_xlfn.XLOOKUP(Table2[[#This Row],[Row]],Table1[Row],Table1[StartSide],0)</f>
        <v>L</v>
      </c>
      <c r="L184" t="str">
        <f t="shared" si="12"/>
        <v>R</v>
      </c>
      <c r="M184" t="str">
        <f t="shared" si="13"/>
        <v>PS1_B09_2_R</v>
      </c>
    </row>
    <row r="185" spans="1:13" x14ac:dyDescent="0.25">
      <c r="A185" t="s">
        <v>192</v>
      </c>
      <c r="B185" t="s">
        <v>764</v>
      </c>
      <c r="C185" t="s">
        <v>755</v>
      </c>
      <c r="D185">
        <v>3</v>
      </c>
      <c r="E185" t="s">
        <v>751</v>
      </c>
      <c r="F185" t="s">
        <v>779</v>
      </c>
      <c r="G185" t="str">
        <f t="shared" si="14"/>
        <v>B</v>
      </c>
      <c r="H185">
        <f>_xlfn.XLOOKUP(Table2[[#This Row],[Zone]],Table1[Row],Table1[Max Bay],_xleta.NA,0)</f>
        <v>12</v>
      </c>
      <c r="I185" s="1" t="str">
        <f t="shared" si="10"/>
        <v>09</v>
      </c>
      <c r="J185">
        <f t="shared" si="11"/>
        <v>3</v>
      </c>
      <c r="K185" t="str">
        <f>_xlfn.XLOOKUP(Table2[[#This Row],[Row]],Table1[Row],Table1[StartSide],0)</f>
        <v>L</v>
      </c>
      <c r="L185" t="str">
        <f t="shared" si="12"/>
        <v>L</v>
      </c>
      <c r="M185" t="str">
        <f t="shared" si="13"/>
        <v>PS1_B09_3_L</v>
      </c>
    </row>
    <row r="186" spans="1:13" x14ac:dyDescent="0.25">
      <c r="A186" t="s">
        <v>193</v>
      </c>
      <c r="B186" t="s">
        <v>764</v>
      </c>
      <c r="C186" t="s">
        <v>755</v>
      </c>
      <c r="D186">
        <v>3</v>
      </c>
      <c r="E186" t="s">
        <v>752</v>
      </c>
      <c r="F186" t="s">
        <v>779</v>
      </c>
      <c r="G186" t="str">
        <f t="shared" si="14"/>
        <v>B</v>
      </c>
      <c r="H186">
        <f>_xlfn.XLOOKUP(Table2[[#This Row],[Zone]],Table1[Row],Table1[Max Bay],_xleta.NA,0)</f>
        <v>12</v>
      </c>
      <c r="I186" s="1" t="str">
        <f t="shared" si="10"/>
        <v>09</v>
      </c>
      <c r="J186">
        <f t="shared" si="11"/>
        <v>3</v>
      </c>
      <c r="K186" t="str">
        <f>_xlfn.XLOOKUP(Table2[[#This Row],[Row]],Table1[Row],Table1[StartSide],0)</f>
        <v>L</v>
      </c>
      <c r="L186" t="str">
        <f t="shared" si="12"/>
        <v>R</v>
      </c>
      <c r="M186" t="str">
        <f t="shared" si="13"/>
        <v>PS1_B09_3_R</v>
      </c>
    </row>
    <row r="187" spans="1:13" x14ac:dyDescent="0.25">
      <c r="A187" t="s">
        <v>194</v>
      </c>
      <c r="B187" t="s">
        <v>764</v>
      </c>
      <c r="C187" t="s">
        <v>755</v>
      </c>
      <c r="D187">
        <v>4</v>
      </c>
      <c r="E187" t="s">
        <v>751</v>
      </c>
      <c r="F187" t="s">
        <v>779</v>
      </c>
      <c r="G187" t="str">
        <f t="shared" si="14"/>
        <v>B</v>
      </c>
      <c r="H187">
        <f>_xlfn.XLOOKUP(Table2[[#This Row],[Zone]],Table1[Row],Table1[Max Bay],_xleta.NA,0)</f>
        <v>12</v>
      </c>
      <c r="I187" s="1" t="str">
        <f t="shared" si="10"/>
        <v>09</v>
      </c>
      <c r="J187">
        <f t="shared" si="11"/>
        <v>4</v>
      </c>
      <c r="K187" t="str">
        <f>_xlfn.XLOOKUP(Table2[[#This Row],[Row]],Table1[Row],Table1[StartSide],0)</f>
        <v>L</v>
      </c>
      <c r="L187" t="str">
        <f t="shared" si="12"/>
        <v>L</v>
      </c>
      <c r="M187" t="str">
        <f t="shared" si="13"/>
        <v>PS1_B09_4_L</v>
      </c>
    </row>
    <row r="188" spans="1:13" x14ac:dyDescent="0.25">
      <c r="A188" t="s">
        <v>195</v>
      </c>
      <c r="B188" t="s">
        <v>764</v>
      </c>
      <c r="C188" t="s">
        <v>755</v>
      </c>
      <c r="D188">
        <v>4</v>
      </c>
      <c r="E188" t="s">
        <v>752</v>
      </c>
      <c r="F188" t="s">
        <v>779</v>
      </c>
      <c r="G188" t="str">
        <f t="shared" si="14"/>
        <v>B</v>
      </c>
      <c r="H188">
        <f>_xlfn.XLOOKUP(Table2[[#This Row],[Zone]],Table1[Row],Table1[Max Bay],_xleta.NA,0)</f>
        <v>12</v>
      </c>
      <c r="I188" s="1" t="str">
        <f t="shared" si="10"/>
        <v>09</v>
      </c>
      <c r="J188">
        <f t="shared" si="11"/>
        <v>4</v>
      </c>
      <c r="K188" t="str">
        <f>_xlfn.XLOOKUP(Table2[[#This Row],[Row]],Table1[Row],Table1[StartSide],0)</f>
        <v>L</v>
      </c>
      <c r="L188" t="str">
        <f t="shared" si="12"/>
        <v>R</v>
      </c>
      <c r="M188" t="str">
        <f t="shared" si="13"/>
        <v>PS1_B09_4_R</v>
      </c>
    </row>
    <row r="189" spans="1:13" x14ac:dyDescent="0.25">
      <c r="A189" t="s">
        <v>196</v>
      </c>
      <c r="B189" t="s">
        <v>764</v>
      </c>
      <c r="C189" t="s">
        <v>755</v>
      </c>
      <c r="D189">
        <v>5</v>
      </c>
      <c r="E189" t="s">
        <v>751</v>
      </c>
      <c r="F189" t="s">
        <v>779</v>
      </c>
      <c r="G189" t="str">
        <f t="shared" si="14"/>
        <v>B</v>
      </c>
      <c r="H189">
        <f>_xlfn.XLOOKUP(Table2[[#This Row],[Zone]],Table1[Row],Table1[Max Bay],_xleta.NA,0)</f>
        <v>12</v>
      </c>
      <c r="I189" s="1" t="str">
        <f t="shared" si="10"/>
        <v>09</v>
      </c>
      <c r="J189">
        <f t="shared" si="11"/>
        <v>5</v>
      </c>
      <c r="K189" t="str">
        <f>_xlfn.XLOOKUP(Table2[[#This Row],[Row]],Table1[Row],Table1[StartSide],0)</f>
        <v>L</v>
      </c>
      <c r="L189" t="str">
        <f t="shared" si="12"/>
        <v>L</v>
      </c>
      <c r="M189" t="str">
        <f t="shared" si="13"/>
        <v>PS1_B09_5_L</v>
      </c>
    </row>
    <row r="190" spans="1:13" x14ac:dyDescent="0.25">
      <c r="A190" t="s">
        <v>197</v>
      </c>
      <c r="B190" t="s">
        <v>764</v>
      </c>
      <c r="C190" t="s">
        <v>755</v>
      </c>
      <c r="D190">
        <v>5</v>
      </c>
      <c r="E190" t="s">
        <v>752</v>
      </c>
      <c r="F190" t="s">
        <v>779</v>
      </c>
      <c r="G190" t="str">
        <f t="shared" si="14"/>
        <v>B</v>
      </c>
      <c r="H190">
        <f>_xlfn.XLOOKUP(Table2[[#This Row],[Zone]],Table1[Row],Table1[Max Bay],_xleta.NA,0)</f>
        <v>12</v>
      </c>
      <c r="I190" s="1" t="str">
        <f t="shared" si="10"/>
        <v>09</v>
      </c>
      <c r="J190">
        <f t="shared" si="11"/>
        <v>5</v>
      </c>
      <c r="K190" t="str">
        <f>_xlfn.XLOOKUP(Table2[[#This Row],[Row]],Table1[Row],Table1[StartSide],0)</f>
        <v>L</v>
      </c>
      <c r="L190" t="str">
        <f t="shared" si="12"/>
        <v>R</v>
      </c>
      <c r="M190" t="str">
        <f t="shared" si="13"/>
        <v>PS1_B09_5_R</v>
      </c>
    </row>
    <row r="191" spans="1:13" x14ac:dyDescent="0.25">
      <c r="A191" t="s">
        <v>198</v>
      </c>
      <c r="B191" t="s">
        <v>764</v>
      </c>
      <c r="C191" t="s">
        <v>755</v>
      </c>
      <c r="D191">
        <v>6</v>
      </c>
      <c r="E191" t="s">
        <v>751</v>
      </c>
      <c r="F191" t="s">
        <v>779</v>
      </c>
      <c r="G191" t="str">
        <f t="shared" si="14"/>
        <v>B</v>
      </c>
      <c r="H191">
        <f>_xlfn.XLOOKUP(Table2[[#This Row],[Zone]],Table1[Row],Table1[Max Bay],_xleta.NA,0)</f>
        <v>12</v>
      </c>
      <c r="I191" s="1" t="str">
        <f t="shared" si="10"/>
        <v>09</v>
      </c>
      <c r="J191">
        <f t="shared" si="11"/>
        <v>6</v>
      </c>
      <c r="K191" t="str">
        <f>_xlfn.XLOOKUP(Table2[[#This Row],[Row]],Table1[Row],Table1[StartSide],0)</f>
        <v>L</v>
      </c>
      <c r="L191" t="str">
        <f t="shared" si="12"/>
        <v>L</v>
      </c>
      <c r="M191" t="str">
        <f t="shared" si="13"/>
        <v>PS1_B09_6_L</v>
      </c>
    </row>
    <row r="192" spans="1:13" x14ac:dyDescent="0.25">
      <c r="A192" t="s">
        <v>199</v>
      </c>
      <c r="B192" t="s">
        <v>764</v>
      </c>
      <c r="C192" t="s">
        <v>755</v>
      </c>
      <c r="D192">
        <v>6</v>
      </c>
      <c r="E192" t="s">
        <v>752</v>
      </c>
      <c r="F192" t="s">
        <v>779</v>
      </c>
      <c r="G192" t="str">
        <f t="shared" si="14"/>
        <v>B</v>
      </c>
      <c r="H192">
        <f>_xlfn.XLOOKUP(Table2[[#This Row],[Zone]],Table1[Row],Table1[Max Bay],_xleta.NA,0)</f>
        <v>12</v>
      </c>
      <c r="I192" s="1" t="str">
        <f t="shared" si="10"/>
        <v>09</v>
      </c>
      <c r="J192">
        <f t="shared" si="11"/>
        <v>6</v>
      </c>
      <c r="K192" t="str">
        <f>_xlfn.XLOOKUP(Table2[[#This Row],[Row]],Table1[Row],Table1[StartSide],0)</f>
        <v>L</v>
      </c>
      <c r="L192" t="str">
        <f t="shared" si="12"/>
        <v>R</v>
      </c>
      <c r="M192" t="str">
        <f t="shared" si="13"/>
        <v>PS1_B09_6_R</v>
      </c>
    </row>
    <row r="193" spans="1:13" x14ac:dyDescent="0.25">
      <c r="A193" t="s">
        <v>200</v>
      </c>
      <c r="B193" t="s">
        <v>764</v>
      </c>
      <c r="C193" t="s">
        <v>756</v>
      </c>
      <c r="D193">
        <v>1</v>
      </c>
      <c r="E193" t="s">
        <v>751</v>
      </c>
      <c r="F193" t="s">
        <v>779</v>
      </c>
      <c r="G193" t="str">
        <f t="shared" si="14"/>
        <v>B</v>
      </c>
      <c r="H193">
        <f>_xlfn.XLOOKUP(Table2[[#This Row],[Zone]],Table1[Row],Table1[Max Bay],_xleta.NA,0)</f>
        <v>12</v>
      </c>
      <c r="I193" s="1" t="str">
        <f t="shared" si="10"/>
        <v>08</v>
      </c>
      <c r="J193">
        <f t="shared" si="11"/>
        <v>1</v>
      </c>
      <c r="K193" t="str">
        <f>_xlfn.XLOOKUP(Table2[[#This Row],[Row]],Table1[Row],Table1[StartSide],0)</f>
        <v>L</v>
      </c>
      <c r="L193" t="str">
        <f t="shared" si="12"/>
        <v>L</v>
      </c>
      <c r="M193" t="str">
        <f t="shared" si="13"/>
        <v>PS1_B08_1_L</v>
      </c>
    </row>
    <row r="194" spans="1:13" x14ac:dyDescent="0.25">
      <c r="A194" t="s">
        <v>201</v>
      </c>
      <c r="B194" t="s">
        <v>764</v>
      </c>
      <c r="C194" t="s">
        <v>756</v>
      </c>
      <c r="D194">
        <v>1</v>
      </c>
      <c r="E194" t="s">
        <v>752</v>
      </c>
      <c r="F194" t="s">
        <v>779</v>
      </c>
      <c r="G194" t="str">
        <f t="shared" si="14"/>
        <v>B</v>
      </c>
      <c r="H194">
        <f>_xlfn.XLOOKUP(Table2[[#This Row],[Zone]],Table1[Row],Table1[Max Bay],_xleta.NA,0)</f>
        <v>12</v>
      </c>
      <c r="I194" s="1" t="str">
        <f t="shared" ref="I194:I257" si="15">TEXT(H194-INT(C194)+1,"00")</f>
        <v>08</v>
      </c>
      <c r="J194">
        <f t="shared" ref="J194:J257" si="16">D194</f>
        <v>1</v>
      </c>
      <c r="K194" t="str">
        <f>_xlfn.XLOOKUP(Table2[[#This Row],[Row]],Table1[Row],Table1[StartSide],0)</f>
        <v>L</v>
      </c>
      <c r="L194" t="str">
        <f t="shared" ref="L194:L257" si="17">E194</f>
        <v>R</v>
      </c>
      <c r="M194" t="str">
        <f t="shared" ref="M194:M257" si="18">_xlfn.CONCAT(F194,"_",G194,I194,"_",J194,"_",L194)</f>
        <v>PS1_B08_1_R</v>
      </c>
    </row>
    <row r="195" spans="1:13" x14ac:dyDescent="0.25">
      <c r="A195" t="s">
        <v>202</v>
      </c>
      <c r="B195" t="s">
        <v>764</v>
      </c>
      <c r="C195" t="s">
        <v>756</v>
      </c>
      <c r="D195">
        <v>2</v>
      </c>
      <c r="E195" t="s">
        <v>751</v>
      </c>
      <c r="F195" t="s">
        <v>779</v>
      </c>
      <c r="G195" t="str">
        <f t="shared" ref="G195:G258" si="19">B195</f>
        <v>B</v>
      </c>
      <c r="H195">
        <f>_xlfn.XLOOKUP(Table2[[#This Row],[Zone]],Table1[Row],Table1[Max Bay],_xleta.NA,0)</f>
        <v>12</v>
      </c>
      <c r="I195" s="1" t="str">
        <f t="shared" si="15"/>
        <v>08</v>
      </c>
      <c r="J195">
        <f t="shared" si="16"/>
        <v>2</v>
      </c>
      <c r="K195" t="str">
        <f>_xlfn.XLOOKUP(Table2[[#This Row],[Row]],Table1[Row],Table1[StartSide],0)</f>
        <v>L</v>
      </c>
      <c r="L195" t="str">
        <f t="shared" si="17"/>
        <v>L</v>
      </c>
      <c r="M195" t="str">
        <f t="shared" si="18"/>
        <v>PS1_B08_2_L</v>
      </c>
    </row>
    <row r="196" spans="1:13" x14ac:dyDescent="0.25">
      <c r="A196" t="s">
        <v>203</v>
      </c>
      <c r="B196" t="s">
        <v>764</v>
      </c>
      <c r="C196" t="s">
        <v>756</v>
      </c>
      <c r="D196">
        <v>2</v>
      </c>
      <c r="E196" t="s">
        <v>752</v>
      </c>
      <c r="F196" t="s">
        <v>779</v>
      </c>
      <c r="G196" t="str">
        <f t="shared" si="19"/>
        <v>B</v>
      </c>
      <c r="H196">
        <f>_xlfn.XLOOKUP(Table2[[#This Row],[Zone]],Table1[Row],Table1[Max Bay],_xleta.NA,0)</f>
        <v>12</v>
      </c>
      <c r="I196" s="1" t="str">
        <f t="shared" si="15"/>
        <v>08</v>
      </c>
      <c r="J196">
        <f t="shared" si="16"/>
        <v>2</v>
      </c>
      <c r="K196" t="str">
        <f>_xlfn.XLOOKUP(Table2[[#This Row],[Row]],Table1[Row],Table1[StartSide],0)</f>
        <v>L</v>
      </c>
      <c r="L196" t="str">
        <f t="shared" si="17"/>
        <v>R</v>
      </c>
      <c r="M196" t="str">
        <f t="shared" si="18"/>
        <v>PS1_B08_2_R</v>
      </c>
    </row>
    <row r="197" spans="1:13" x14ac:dyDescent="0.25">
      <c r="A197" t="s">
        <v>204</v>
      </c>
      <c r="B197" t="s">
        <v>764</v>
      </c>
      <c r="C197" t="s">
        <v>756</v>
      </c>
      <c r="D197">
        <v>3</v>
      </c>
      <c r="E197" t="s">
        <v>751</v>
      </c>
      <c r="F197" t="s">
        <v>779</v>
      </c>
      <c r="G197" t="str">
        <f t="shared" si="19"/>
        <v>B</v>
      </c>
      <c r="H197">
        <f>_xlfn.XLOOKUP(Table2[[#This Row],[Zone]],Table1[Row],Table1[Max Bay],_xleta.NA,0)</f>
        <v>12</v>
      </c>
      <c r="I197" s="1" t="str">
        <f t="shared" si="15"/>
        <v>08</v>
      </c>
      <c r="J197">
        <f t="shared" si="16"/>
        <v>3</v>
      </c>
      <c r="K197" t="str">
        <f>_xlfn.XLOOKUP(Table2[[#This Row],[Row]],Table1[Row],Table1[StartSide],0)</f>
        <v>L</v>
      </c>
      <c r="L197" t="str">
        <f t="shared" si="17"/>
        <v>L</v>
      </c>
      <c r="M197" t="str">
        <f t="shared" si="18"/>
        <v>PS1_B08_3_L</v>
      </c>
    </row>
    <row r="198" spans="1:13" x14ac:dyDescent="0.25">
      <c r="A198" t="s">
        <v>205</v>
      </c>
      <c r="B198" t="s">
        <v>764</v>
      </c>
      <c r="C198" t="s">
        <v>756</v>
      </c>
      <c r="D198">
        <v>3</v>
      </c>
      <c r="E198" t="s">
        <v>752</v>
      </c>
      <c r="F198" t="s">
        <v>779</v>
      </c>
      <c r="G198" t="str">
        <f t="shared" si="19"/>
        <v>B</v>
      </c>
      <c r="H198">
        <f>_xlfn.XLOOKUP(Table2[[#This Row],[Zone]],Table1[Row],Table1[Max Bay],_xleta.NA,0)</f>
        <v>12</v>
      </c>
      <c r="I198" s="1" t="str">
        <f t="shared" si="15"/>
        <v>08</v>
      </c>
      <c r="J198">
        <f t="shared" si="16"/>
        <v>3</v>
      </c>
      <c r="K198" t="str">
        <f>_xlfn.XLOOKUP(Table2[[#This Row],[Row]],Table1[Row],Table1[StartSide],0)</f>
        <v>L</v>
      </c>
      <c r="L198" t="str">
        <f t="shared" si="17"/>
        <v>R</v>
      </c>
      <c r="M198" t="str">
        <f t="shared" si="18"/>
        <v>PS1_B08_3_R</v>
      </c>
    </row>
    <row r="199" spans="1:13" x14ac:dyDescent="0.25">
      <c r="A199" t="s">
        <v>206</v>
      </c>
      <c r="B199" t="s">
        <v>764</v>
      </c>
      <c r="C199" t="s">
        <v>756</v>
      </c>
      <c r="D199">
        <v>4</v>
      </c>
      <c r="E199" t="s">
        <v>751</v>
      </c>
      <c r="F199" t="s">
        <v>779</v>
      </c>
      <c r="G199" t="str">
        <f t="shared" si="19"/>
        <v>B</v>
      </c>
      <c r="H199">
        <f>_xlfn.XLOOKUP(Table2[[#This Row],[Zone]],Table1[Row],Table1[Max Bay],_xleta.NA,0)</f>
        <v>12</v>
      </c>
      <c r="I199" s="1" t="str">
        <f t="shared" si="15"/>
        <v>08</v>
      </c>
      <c r="J199">
        <f t="shared" si="16"/>
        <v>4</v>
      </c>
      <c r="K199" t="str">
        <f>_xlfn.XLOOKUP(Table2[[#This Row],[Row]],Table1[Row],Table1[StartSide],0)</f>
        <v>L</v>
      </c>
      <c r="L199" t="str">
        <f t="shared" si="17"/>
        <v>L</v>
      </c>
      <c r="M199" t="str">
        <f t="shared" si="18"/>
        <v>PS1_B08_4_L</v>
      </c>
    </row>
    <row r="200" spans="1:13" x14ac:dyDescent="0.25">
      <c r="A200" t="s">
        <v>207</v>
      </c>
      <c r="B200" t="s">
        <v>764</v>
      </c>
      <c r="C200" t="s">
        <v>756</v>
      </c>
      <c r="D200">
        <v>4</v>
      </c>
      <c r="E200" t="s">
        <v>752</v>
      </c>
      <c r="F200" t="s">
        <v>779</v>
      </c>
      <c r="G200" t="str">
        <f t="shared" si="19"/>
        <v>B</v>
      </c>
      <c r="H200">
        <f>_xlfn.XLOOKUP(Table2[[#This Row],[Zone]],Table1[Row],Table1[Max Bay],_xleta.NA,0)</f>
        <v>12</v>
      </c>
      <c r="I200" s="1" t="str">
        <f t="shared" si="15"/>
        <v>08</v>
      </c>
      <c r="J200">
        <f t="shared" si="16"/>
        <v>4</v>
      </c>
      <c r="K200" t="str">
        <f>_xlfn.XLOOKUP(Table2[[#This Row],[Row]],Table1[Row],Table1[StartSide],0)</f>
        <v>L</v>
      </c>
      <c r="L200" t="str">
        <f t="shared" si="17"/>
        <v>R</v>
      </c>
      <c r="M200" t="str">
        <f t="shared" si="18"/>
        <v>PS1_B08_4_R</v>
      </c>
    </row>
    <row r="201" spans="1:13" x14ac:dyDescent="0.25">
      <c r="A201" t="s">
        <v>208</v>
      </c>
      <c r="B201" t="s">
        <v>764</v>
      </c>
      <c r="C201" t="s">
        <v>756</v>
      </c>
      <c r="D201">
        <v>5</v>
      </c>
      <c r="E201" t="s">
        <v>751</v>
      </c>
      <c r="F201" t="s">
        <v>779</v>
      </c>
      <c r="G201" t="str">
        <f t="shared" si="19"/>
        <v>B</v>
      </c>
      <c r="H201">
        <f>_xlfn.XLOOKUP(Table2[[#This Row],[Zone]],Table1[Row],Table1[Max Bay],_xleta.NA,0)</f>
        <v>12</v>
      </c>
      <c r="I201" s="1" t="str">
        <f t="shared" si="15"/>
        <v>08</v>
      </c>
      <c r="J201">
        <f t="shared" si="16"/>
        <v>5</v>
      </c>
      <c r="K201" t="str">
        <f>_xlfn.XLOOKUP(Table2[[#This Row],[Row]],Table1[Row],Table1[StartSide],0)</f>
        <v>L</v>
      </c>
      <c r="L201" t="str">
        <f t="shared" si="17"/>
        <v>L</v>
      </c>
      <c r="M201" t="str">
        <f t="shared" si="18"/>
        <v>PS1_B08_5_L</v>
      </c>
    </row>
    <row r="202" spans="1:13" x14ac:dyDescent="0.25">
      <c r="A202" t="s">
        <v>209</v>
      </c>
      <c r="B202" t="s">
        <v>764</v>
      </c>
      <c r="C202" t="s">
        <v>756</v>
      </c>
      <c r="D202">
        <v>5</v>
      </c>
      <c r="E202" t="s">
        <v>752</v>
      </c>
      <c r="F202" t="s">
        <v>779</v>
      </c>
      <c r="G202" t="str">
        <f t="shared" si="19"/>
        <v>B</v>
      </c>
      <c r="H202">
        <f>_xlfn.XLOOKUP(Table2[[#This Row],[Zone]],Table1[Row],Table1[Max Bay],_xleta.NA,0)</f>
        <v>12</v>
      </c>
      <c r="I202" s="1" t="str">
        <f t="shared" si="15"/>
        <v>08</v>
      </c>
      <c r="J202">
        <f t="shared" si="16"/>
        <v>5</v>
      </c>
      <c r="K202" t="str">
        <f>_xlfn.XLOOKUP(Table2[[#This Row],[Row]],Table1[Row],Table1[StartSide],0)</f>
        <v>L</v>
      </c>
      <c r="L202" t="str">
        <f t="shared" si="17"/>
        <v>R</v>
      </c>
      <c r="M202" t="str">
        <f t="shared" si="18"/>
        <v>PS1_B08_5_R</v>
      </c>
    </row>
    <row r="203" spans="1:13" x14ac:dyDescent="0.25">
      <c r="A203" t="s">
        <v>210</v>
      </c>
      <c r="B203" t="s">
        <v>764</v>
      </c>
      <c r="C203" t="s">
        <v>756</v>
      </c>
      <c r="D203">
        <v>6</v>
      </c>
      <c r="E203" t="s">
        <v>751</v>
      </c>
      <c r="F203" t="s">
        <v>779</v>
      </c>
      <c r="G203" t="str">
        <f t="shared" si="19"/>
        <v>B</v>
      </c>
      <c r="H203">
        <f>_xlfn.XLOOKUP(Table2[[#This Row],[Zone]],Table1[Row],Table1[Max Bay],_xleta.NA,0)</f>
        <v>12</v>
      </c>
      <c r="I203" s="1" t="str">
        <f t="shared" si="15"/>
        <v>08</v>
      </c>
      <c r="J203">
        <f t="shared" si="16"/>
        <v>6</v>
      </c>
      <c r="K203" t="str">
        <f>_xlfn.XLOOKUP(Table2[[#This Row],[Row]],Table1[Row],Table1[StartSide],0)</f>
        <v>L</v>
      </c>
      <c r="L203" t="str">
        <f t="shared" si="17"/>
        <v>L</v>
      </c>
      <c r="M203" t="str">
        <f t="shared" si="18"/>
        <v>PS1_B08_6_L</v>
      </c>
    </row>
    <row r="204" spans="1:13" x14ac:dyDescent="0.25">
      <c r="A204" t="s">
        <v>211</v>
      </c>
      <c r="B204" t="s">
        <v>764</v>
      </c>
      <c r="C204" t="s">
        <v>756</v>
      </c>
      <c r="D204">
        <v>6</v>
      </c>
      <c r="E204" t="s">
        <v>752</v>
      </c>
      <c r="F204" t="s">
        <v>779</v>
      </c>
      <c r="G204" t="str">
        <f t="shared" si="19"/>
        <v>B</v>
      </c>
      <c r="H204">
        <f>_xlfn.XLOOKUP(Table2[[#This Row],[Zone]],Table1[Row],Table1[Max Bay],_xleta.NA,0)</f>
        <v>12</v>
      </c>
      <c r="I204" s="1" t="str">
        <f t="shared" si="15"/>
        <v>08</v>
      </c>
      <c r="J204">
        <f t="shared" si="16"/>
        <v>6</v>
      </c>
      <c r="K204" t="str">
        <f>_xlfn.XLOOKUP(Table2[[#This Row],[Row]],Table1[Row],Table1[StartSide],0)</f>
        <v>L</v>
      </c>
      <c r="L204" t="str">
        <f t="shared" si="17"/>
        <v>R</v>
      </c>
      <c r="M204" t="str">
        <f t="shared" si="18"/>
        <v>PS1_B08_6_R</v>
      </c>
    </row>
    <row r="205" spans="1:13" x14ac:dyDescent="0.25">
      <c r="A205" t="s">
        <v>212</v>
      </c>
      <c r="B205" t="s">
        <v>764</v>
      </c>
      <c r="C205" t="s">
        <v>757</v>
      </c>
      <c r="D205">
        <v>1</v>
      </c>
      <c r="E205" t="s">
        <v>751</v>
      </c>
      <c r="F205" t="s">
        <v>779</v>
      </c>
      <c r="G205" t="str">
        <f t="shared" si="19"/>
        <v>B</v>
      </c>
      <c r="H205">
        <f>_xlfn.XLOOKUP(Table2[[#This Row],[Zone]],Table1[Row],Table1[Max Bay],_xleta.NA,0)</f>
        <v>12</v>
      </c>
      <c r="I205" s="1" t="str">
        <f t="shared" si="15"/>
        <v>07</v>
      </c>
      <c r="J205">
        <f t="shared" si="16"/>
        <v>1</v>
      </c>
      <c r="K205" t="str">
        <f>_xlfn.XLOOKUP(Table2[[#This Row],[Row]],Table1[Row],Table1[StartSide],0)</f>
        <v>L</v>
      </c>
      <c r="L205" t="str">
        <f t="shared" si="17"/>
        <v>L</v>
      </c>
      <c r="M205" t="str">
        <f t="shared" si="18"/>
        <v>PS1_B07_1_L</v>
      </c>
    </row>
    <row r="206" spans="1:13" x14ac:dyDescent="0.25">
      <c r="A206" t="s">
        <v>213</v>
      </c>
      <c r="B206" t="s">
        <v>764</v>
      </c>
      <c r="C206" t="s">
        <v>757</v>
      </c>
      <c r="D206">
        <v>1</v>
      </c>
      <c r="E206" t="s">
        <v>752</v>
      </c>
      <c r="F206" t="s">
        <v>779</v>
      </c>
      <c r="G206" t="str">
        <f t="shared" si="19"/>
        <v>B</v>
      </c>
      <c r="H206">
        <f>_xlfn.XLOOKUP(Table2[[#This Row],[Zone]],Table1[Row],Table1[Max Bay],_xleta.NA,0)</f>
        <v>12</v>
      </c>
      <c r="I206" s="1" t="str">
        <f t="shared" si="15"/>
        <v>07</v>
      </c>
      <c r="J206">
        <f t="shared" si="16"/>
        <v>1</v>
      </c>
      <c r="K206" t="str">
        <f>_xlfn.XLOOKUP(Table2[[#This Row],[Row]],Table1[Row],Table1[StartSide],0)</f>
        <v>L</v>
      </c>
      <c r="L206" t="str">
        <f t="shared" si="17"/>
        <v>R</v>
      </c>
      <c r="M206" t="str">
        <f t="shared" si="18"/>
        <v>PS1_B07_1_R</v>
      </c>
    </row>
    <row r="207" spans="1:13" x14ac:dyDescent="0.25">
      <c r="A207" t="s">
        <v>214</v>
      </c>
      <c r="B207" t="s">
        <v>764</v>
      </c>
      <c r="C207" t="s">
        <v>757</v>
      </c>
      <c r="D207">
        <v>2</v>
      </c>
      <c r="E207" t="s">
        <v>751</v>
      </c>
      <c r="F207" t="s">
        <v>779</v>
      </c>
      <c r="G207" t="str">
        <f t="shared" si="19"/>
        <v>B</v>
      </c>
      <c r="H207">
        <f>_xlfn.XLOOKUP(Table2[[#This Row],[Zone]],Table1[Row],Table1[Max Bay],_xleta.NA,0)</f>
        <v>12</v>
      </c>
      <c r="I207" s="1" t="str">
        <f t="shared" si="15"/>
        <v>07</v>
      </c>
      <c r="J207">
        <f t="shared" si="16"/>
        <v>2</v>
      </c>
      <c r="K207" t="str">
        <f>_xlfn.XLOOKUP(Table2[[#This Row],[Row]],Table1[Row],Table1[StartSide],0)</f>
        <v>L</v>
      </c>
      <c r="L207" t="str">
        <f t="shared" si="17"/>
        <v>L</v>
      </c>
      <c r="M207" t="str">
        <f t="shared" si="18"/>
        <v>PS1_B07_2_L</v>
      </c>
    </row>
    <row r="208" spans="1:13" x14ac:dyDescent="0.25">
      <c r="A208" t="s">
        <v>215</v>
      </c>
      <c r="B208" t="s">
        <v>764</v>
      </c>
      <c r="C208" t="s">
        <v>757</v>
      </c>
      <c r="D208">
        <v>2</v>
      </c>
      <c r="E208" t="s">
        <v>752</v>
      </c>
      <c r="F208" t="s">
        <v>779</v>
      </c>
      <c r="G208" t="str">
        <f t="shared" si="19"/>
        <v>B</v>
      </c>
      <c r="H208">
        <f>_xlfn.XLOOKUP(Table2[[#This Row],[Zone]],Table1[Row],Table1[Max Bay],_xleta.NA,0)</f>
        <v>12</v>
      </c>
      <c r="I208" s="1" t="str">
        <f t="shared" si="15"/>
        <v>07</v>
      </c>
      <c r="J208">
        <f t="shared" si="16"/>
        <v>2</v>
      </c>
      <c r="K208" t="str">
        <f>_xlfn.XLOOKUP(Table2[[#This Row],[Row]],Table1[Row],Table1[StartSide],0)</f>
        <v>L</v>
      </c>
      <c r="L208" t="str">
        <f t="shared" si="17"/>
        <v>R</v>
      </c>
      <c r="M208" t="str">
        <f t="shared" si="18"/>
        <v>PS1_B07_2_R</v>
      </c>
    </row>
    <row r="209" spans="1:13" x14ac:dyDescent="0.25">
      <c r="A209" t="s">
        <v>216</v>
      </c>
      <c r="B209" t="s">
        <v>764</v>
      </c>
      <c r="C209" t="s">
        <v>757</v>
      </c>
      <c r="D209">
        <v>3</v>
      </c>
      <c r="E209" t="s">
        <v>751</v>
      </c>
      <c r="F209" t="s">
        <v>779</v>
      </c>
      <c r="G209" t="str">
        <f t="shared" si="19"/>
        <v>B</v>
      </c>
      <c r="H209">
        <f>_xlfn.XLOOKUP(Table2[[#This Row],[Zone]],Table1[Row],Table1[Max Bay],_xleta.NA,0)</f>
        <v>12</v>
      </c>
      <c r="I209" s="1" t="str">
        <f t="shared" si="15"/>
        <v>07</v>
      </c>
      <c r="J209">
        <f t="shared" si="16"/>
        <v>3</v>
      </c>
      <c r="K209" t="str">
        <f>_xlfn.XLOOKUP(Table2[[#This Row],[Row]],Table1[Row],Table1[StartSide],0)</f>
        <v>L</v>
      </c>
      <c r="L209" t="str">
        <f t="shared" si="17"/>
        <v>L</v>
      </c>
      <c r="M209" t="str">
        <f t="shared" si="18"/>
        <v>PS1_B07_3_L</v>
      </c>
    </row>
    <row r="210" spans="1:13" x14ac:dyDescent="0.25">
      <c r="A210" t="s">
        <v>217</v>
      </c>
      <c r="B210" t="s">
        <v>764</v>
      </c>
      <c r="C210" t="s">
        <v>757</v>
      </c>
      <c r="D210">
        <v>3</v>
      </c>
      <c r="E210" t="s">
        <v>752</v>
      </c>
      <c r="F210" t="s">
        <v>779</v>
      </c>
      <c r="G210" t="str">
        <f t="shared" si="19"/>
        <v>B</v>
      </c>
      <c r="H210">
        <f>_xlfn.XLOOKUP(Table2[[#This Row],[Zone]],Table1[Row],Table1[Max Bay],_xleta.NA,0)</f>
        <v>12</v>
      </c>
      <c r="I210" s="1" t="str">
        <f t="shared" si="15"/>
        <v>07</v>
      </c>
      <c r="J210">
        <f t="shared" si="16"/>
        <v>3</v>
      </c>
      <c r="K210" t="str">
        <f>_xlfn.XLOOKUP(Table2[[#This Row],[Row]],Table1[Row],Table1[StartSide],0)</f>
        <v>L</v>
      </c>
      <c r="L210" t="str">
        <f t="shared" si="17"/>
        <v>R</v>
      </c>
      <c r="M210" t="str">
        <f t="shared" si="18"/>
        <v>PS1_B07_3_R</v>
      </c>
    </row>
    <row r="211" spans="1:13" x14ac:dyDescent="0.25">
      <c r="A211" t="s">
        <v>218</v>
      </c>
      <c r="B211" t="s">
        <v>764</v>
      </c>
      <c r="C211" t="s">
        <v>757</v>
      </c>
      <c r="D211">
        <v>4</v>
      </c>
      <c r="E211" t="s">
        <v>751</v>
      </c>
      <c r="F211" t="s">
        <v>779</v>
      </c>
      <c r="G211" t="str">
        <f t="shared" si="19"/>
        <v>B</v>
      </c>
      <c r="H211">
        <f>_xlfn.XLOOKUP(Table2[[#This Row],[Zone]],Table1[Row],Table1[Max Bay],_xleta.NA,0)</f>
        <v>12</v>
      </c>
      <c r="I211" s="1" t="str">
        <f t="shared" si="15"/>
        <v>07</v>
      </c>
      <c r="J211">
        <f t="shared" si="16"/>
        <v>4</v>
      </c>
      <c r="K211" t="str">
        <f>_xlfn.XLOOKUP(Table2[[#This Row],[Row]],Table1[Row],Table1[StartSide],0)</f>
        <v>L</v>
      </c>
      <c r="L211" t="str">
        <f t="shared" si="17"/>
        <v>L</v>
      </c>
      <c r="M211" t="str">
        <f t="shared" si="18"/>
        <v>PS1_B07_4_L</v>
      </c>
    </row>
    <row r="212" spans="1:13" x14ac:dyDescent="0.25">
      <c r="A212" t="s">
        <v>219</v>
      </c>
      <c r="B212" t="s">
        <v>764</v>
      </c>
      <c r="C212" t="s">
        <v>757</v>
      </c>
      <c r="D212">
        <v>4</v>
      </c>
      <c r="E212" t="s">
        <v>752</v>
      </c>
      <c r="F212" t="s">
        <v>779</v>
      </c>
      <c r="G212" t="str">
        <f t="shared" si="19"/>
        <v>B</v>
      </c>
      <c r="H212">
        <f>_xlfn.XLOOKUP(Table2[[#This Row],[Zone]],Table1[Row],Table1[Max Bay],_xleta.NA,0)</f>
        <v>12</v>
      </c>
      <c r="I212" s="1" t="str">
        <f t="shared" si="15"/>
        <v>07</v>
      </c>
      <c r="J212">
        <f t="shared" si="16"/>
        <v>4</v>
      </c>
      <c r="K212" t="str">
        <f>_xlfn.XLOOKUP(Table2[[#This Row],[Row]],Table1[Row],Table1[StartSide],0)</f>
        <v>L</v>
      </c>
      <c r="L212" t="str">
        <f t="shared" si="17"/>
        <v>R</v>
      </c>
      <c r="M212" t="str">
        <f t="shared" si="18"/>
        <v>PS1_B07_4_R</v>
      </c>
    </row>
    <row r="213" spans="1:13" x14ac:dyDescent="0.25">
      <c r="A213" t="s">
        <v>220</v>
      </c>
      <c r="B213" t="s">
        <v>764</v>
      </c>
      <c r="C213" t="s">
        <v>757</v>
      </c>
      <c r="D213">
        <v>5</v>
      </c>
      <c r="E213" t="s">
        <v>751</v>
      </c>
      <c r="F213" t="s">
        <v>779</v>
      </c>
      <c r="G213" t="str">
        <f t="shared" si="19"/>
        <v>B</v>
      </c>
      <c r="H213">
        <f>_xlfn.XLOOKUP(Table2[[#This Row],[Zone]],Table1[Row],Table1[Max Bay],_xleta.NA,0)</f>
        <v>12</v>
      </c>
      <c r="I213" s="1" t="str">
        <f t="shared" si="15"/>
        <v>07</v>
      </c>
      <c r="J213">
        <f t="shared" si="16"/>
        <v>5</v>
      </c>
      <c r="K213" t="str">
        <f>_xlfn.XLOOKUP(Table2[[#This Row],[Row]],Table1[Row],Table1[StartSide],0)</f>
        <v>L</v>
      </c>
      <c r="L213" t="str">
        <f t="shared" si="17"/>
        <v>L</v>
      </c>
      <c r="M213" t="str">
        <f t="shared" si="18"/>
        <v>PS1_B07_5_L</v>
      </c>
    </row>
    <row r="214" spans="1:13" x14ac:dyDescent="0.25">
      <c r="A214" t="s">
        <v>221</v>
      </c>
      <c r="B214" t="s">
        <v>764</v>
      </c>
      <c r="C214" t="s">
        <v>757</v>
      </c>
      <c r="D214">
        <v>5</v>
      </c>
      <c r="E214" t="s">
        <v>752</v>
      </c>
      <c r="F214" t="s">
        <v>779</v>
      </c>
      <c r="G214" t="str">
        <f t="shared" si="19"/>
        <v>B</v>
      </c>
      <c r="H214">
        <f>_xlfn.XLOOKUP(Table2[[#This Row],[Zone]],Table1[Row],Table1[Max Bay],_xleta.NA,0)</f>
        <v>12</v>
      </c>
      <c r="I214" s="1" t="str">
        <f t="shared" si="15"/>
        <v>07</v>
      </c>
      <c r="J214">
        <f t="shared" si="16"/>
        <v>5</v>
      </c>
      <c r="K214" t="str">
        <f>_xlfn.XLOOKUP(Table2[[#This Row],[Row]],Table1[Row],Table1[StartSide],0)</f>
        <v>L</v>
      </c>
      <c r="L214" t="str">
        <f t="shared" si="17"/>
        <v>R</v>
      </c>
      <c r="M214" t="str">
        <f t="shared" si="18"/>
        <v>PS1_B07_5_R</v>
      </c>
    </row>
    <row r="215" spans="1:13" x14ac:dyDescent="0.25">
      <c r="A215" t="s">
        <v>222</v>
      </c>
      <c r="B215" t="s">
        <v>764</v>
      </c>
      <c r="C215" t="s">
        <v>757</v>
      </c>
      <c r="D215">
        <v>6</v>
      </c>
      <c r="E215" t="s">
        <v>751</v>
      </c>
      <c r="F215" t="s">
        <v>779</v>
      </c>
      <c r="G215" t="str">
        <f t="shared" si="19"/>
        <v>B</v>
      </c>
      <c r="H215">
        <f>_xlfn.XLOOKUP(Table2[[#This Row],[Zone]],Table1[Row],Table1[Max Bay],_xleta.NA,0)</f>
        <v>12</v>
      </c>
      <c r="I215" s="1" t="str">
        <f t="shared" si="15"/>
        <v>07</v>
      </c>
      <c r="J215">
        <f t="shared" si="16"/>
        <v>6</v>
      </c>
      <c r="K215" t="str">
        <f>_xlfn.XLOOKUP(Table2[[#This Row],[Row]],Table1[Row],Table1[StartSide],0)</f>
        <v>L</v>
      </c>
      <c r="L215" t="str">
        <f t="shared" si="17"/>
        <v>L</v>
      </c>
      <c r="M215" t="str">
        <f t="shared" si="18"/>
        <v>PS1_B07_6_L</v>
      </c>
    </row>
    <row r="216" spans="1:13" x14ac:dyDescent="0.25">
      <c r="A216" t="s">
        <v>223</v>
      </c>
      <c r="B216" t="s">
        <v>764</v>
      </c>
      <c r="C216" t="s">
        <v>757</v>
      </c>
      <c r="D216">
        <v>6</v>
      </c>
      <c r="E216" t="s">
        <v>752</v>
      </c>
      <c r="F216" t="s">
        <v>779</v>
      </c>
      <c r="G216" t="str">
        <f t="shared" si="19"/>
        <v>B</v>
      </c>
      <c r="H216">
        <f>_xlfn.XLOOKUP(Table2[[#This Row],[Zone]],Table1[Row],Table1[Max Bay],_xleta.NA,0)</f>
        <v>12</v>
      </c>
      <c r="I216" s="1" t="str">
        <f t="shared" si="15"/>
        <v>07</v>
      </c>
      <c r="J216">
        <f t="shared" si="16"/>
        <v>6</v>
      </c>
      <c r="K216" t="str">
        <f>_xlfn.XLOOKUP(Table2[[#This Row],[Row]],Table1[Row],Table1[StartSide],0)</f>
        <v>L</v>
      </c>
      <c r="L216" t="str">
        <f t="shared" si="17"/>
        <v>R</v>
      </c>
      <c r="M216" t="str">
        <f t="shared" si="18"/>
        <v>PS1_B07_6_R</v>
      </c>
    </row>
    <row r="217" spans="1:13" x14ac:dyDescent="0.25">
      <c r="A217" t="s">
        <v>224</v>
      </c>
      <c r="B217" t="s">
        <v>764</v>
      </c>
      <c r="C217" t="s">
        <v>758</v>
      </c>
      <c r="D217">
        <v>1</v>
      </c>
      <c r="E217" t="s">
        <v>751</v>
      </c>
      <c r="F217" t="s">
        <v>779</v>
      </c>
      <c r="G217" t="str">
        <f t="shared" si="19"/>
        <v>B</v>
      </c>
      <c r="H217">
        <f>_xlfn.XLOOKUP(Table2[[#This Row],[Zone]],Table1[Row],Table1[Max Bay],_xleta.NA,0)</f>
        <v>12</v>
      </c>
      <c r="I217" s="1" t="str">
        <f t="shared" si="15"/>
        <v>06</v>
      </c>
      <c r="J217">
        <f t="shared" si="16"/>
        <v>1</v>
      </c>
      <c r="K217" t="str">
        <f>_xlfn.XLOOKUP(Table2[[#This Row],[Row]],Table1[Row],Table1[StartSide],0)</f>
        <v>L</v>
      </c>
      <c r="L217" t="str">
        <f t="shared" si="17"/>
        <v>L</v>
      </c>
      <c r="M217" t="str">
        <f t="shared" si="18"/>
        <v>PS1_B06_1_L</v>
      </c>
    </row>
    <row r="218" spans="1:13" x14ac:dyDescent="0.25">
      <c r="A218" t="s">
        <v>225</v>
      </c>
      <c r="B218" t="s">
        <v>764</v>
      </c>
      <c r="C218" t="s">
        <v>758</v>
      </c>
      <c r="D218">
        <v>1</v>
      </c>
      <c r="E218" t="s">
        <v>752</v>
      </c>
      <c r="F218" t="s">
        <v>779</v>
      </c>
      <c r="G218" t="str">
        <f t="shared" si="19"/>
        <v>B</v>
      </c>
      <c r="H218">
        <f>_xlfn.XLOOKUP(Table2[[#This Row],[Zone]],Table1[Row],Table1[Max Bay],_xleta.NA,0)</f>
        <v>12</v>
      </c>
      <c r="I218" s="1" t="str">
        <f t="shared" si="15"/>
        <v>06</v>
      </c>
      <c r="J218">
        <f t="shared" si="16"/>
        <v>1</v>
      </c>
      <c r="K218" t="str">
        <f>_xlfn.XLOOKUP(Table2[[#This Row],[Row]],Table1[Row],Table1[StartSide],0)</f>
        <v>L</v>
      </c>
      <c r="L218" t="str">
        <f t="shared" si="17"/>
        <v>R</v>
      </c>
      <c r="M218" t="str">
        <f t="shared" si="18"/>
        <v>PS1_B06_1_R</v>
      </c>
    </row>
    <row r="219" spans="1:13" x14ac:dyDescent="0.25">
      <c r="A219" t="s">
        <v>226</v>
      </c>
      <c r="B219" t="s">
        <v>764</v>
      </c>
      <c r="C219" t="s">
        <v>758</v>
      </c>
      <c r="D219">
        <v>2</v>
      </c>
      <c r="E219" t="s">
        <v>751</v>
      </c>
      <c r="F219" t="s">
        <v>779</v>
      </c>
      <c r="G219" t="str">
        <f t="shared" si="19"/>
        <v>B</v>
      </c>
      <c r="H219">
        <f>_xlfn.XLOOKUP(Table2[[#This Row],[Zone]],Table1[Row],Table1[Max Bay],_xleta.NA,0)</f>
        <v>12</v>
      </c>
      <c r="I219" s="1" t="str">
        <f t="shared" si="15"/>
        <v>06</v>
      </c>
      <c r="J219">
        <f t="shared" si="16"/>
        <v>2</v>
      </c>
      <c r="K219" t="str">
        <f>_xlfn.XLOOKUP(Table2[[#This Row],[Row]],Table1[Row],Table1[StartSide],0)</f>
        <v>L</v>
      </c>
      <c r="L219" t="str">
        <f t="shared" si="17"/>
        <v>L</v>
      </c>
      <c r="M219" t="str">
        <f t="shared" si="18"/>
        <v>PS1_B06_2_L</v>
      </c>
    </row>
    <row r="220" spans="1:13" x14ac:dyDescent="0.25">
      <c r="A220" t="s">
        <v>227</v>
      </c>
      <c r="B220" t="s">
        <v>764</v>
      </c>
      <c r="C220" t="s">
        <v>758</v>
      </c>
      <c r="D220">
        <v>2</v>
      </c>
      <c r="E220" t="s">
        <v>752</v>
      </c>
      <c r="F220" t="s">
        <v>779</v>
      </c>
      <c r="G220" t="str">
        <f t="shared" si="19"/>
        <v>B</v>
      </c>
      <c r="H220">
        <f>_xlfn.XLOOKUP(Table2[[#This Row],[Zone]],Table1[Row],Table1[Max Bay],_xleta.NA,0)</f>
        <v>12</v>
      </c>
      <c r="I220" s="1" t="str">
        <f t="shared" si="15"/>
        <v>06</v>
      </c>
      <c r="J220">
        <f t="shared" si="16"/>
        <v>2</v>
      </c>
      <c r="K220" t="str">
        <f>_xlfn.XLOOKUP(Table2[[#This Row],[Row]],Table1[Row],Table1[StartSide],0)</f>
        <v>L</v>
      </c>
      <c r="L220" t="str">
        <f t="shared" si="17"/>
        <v>R</v>
      </c>
      <c r="M220" t="str">
        <f t="shared" si="18"/>
        <v>PS1_B06_2_R</v>
      </c>
    </row>
    <row r="221" spans="1:13" x14ac:dyDescent="0.25">
      <c r="A221" t="s">
        <v>228</v>
      </c>
      <c r="B221" t="s">
        <v>764</v>
      </c>
      <c r="C221" t="s">
        <v>758</v>
      </c>
      <c r="D221">
        <v>3</v>
      </c>
      <c r="E221" t="s">
        <v>751</v>
      </c>
      <c r="F221" t="s">
        <v>779</v>
      </c>
      <c r="G221" t="str">
        <f t="shared" si="19"/>
        <v>B</v>
      </c>
      <c r="H221">
        <f>_xlfn.XLOOKUP(Table2[[#This Row],[Zone]],Table1[Row],Table1[Max Bay],_xleta.NA,0)</f>
        <v>12</v>
      </c>
      <c r="I221" s="1" t="str">
        <f t="shared" si="15"/>
        <v>06</v>
      </c>
      <c r="J221">
        <f t="shared" si="16"/>
        <v>3</v>
      </c>
      <c r="K221" t="str">
        <f>_xlfn.XLOOKUP(Table2[[#This Row],[Row]],Table1[Row],Table1[StartSide],0)</f>
        <v>L</v>
      </c>
      <c r="L221" t="str">
        <f t="shared" si="17"/>
        <v>L</v>
      </c>
      <c r="M221" t="str">
        <f t="shared" si="18"/>
        <v>PS1_B06_3_L</v>
      </c>
    </row>
    <row r="222" spans="1:13" x14ac:dyDescent="0.25">
      <c r="A222" t="s">
        <v>229</v>
      </c>
      <c r="B222" t="s">
        <v>764</v>
      </c>
      <c r="C222" t="s">
        <v>758</v>
      </c>
      <c r="D222">
        <v>3</v>
      </c>
      <c r="E222" t="s">
        <v>752</v>
      </c>
      <c r="F222" t="s">
        <v>779</v>
      </c>
      <c r="G222" t="str">
        <f t="shared" si="19"/>
        <v>B</v>
      </c>
      <c r="H222">
        <f>_xlfn.XLOOKUP(Table2[[#This Row],[Zone]],Table1[Row],Table1[Max Bay],_xleta.NA,0)</f>
        <v>12</v>
      </c>
      <c r="I222" s="1" t="str">
        <f t="shared" si="15"/>
        <v>06</v>
      </c>
      <c r="J222">
        <f t="shared" si="16"/>
        <v>3</v>
      </c>
      <c r="K222" t="str">
        <f>_xlfn.XLOOKUP(Table2[[#This Row],[Row]],Table1[Row],Table1[StartSide],0)</f>
        <v>L</v>
      </c>
      <c r="L222" t="str">
        <f t="shared" si="17"/>
        <v>R</v>
      </c>
      <c r="M222" t="str">
        <f t="shared" si="18"/>
        <v>PS1_B06_3_R</v>
      </c>
    </row>
    <row r="223" spans="1:13" x14ac:dyDescent="0.25">
      <c r="A223" t="s">
        <v>230</v>
      </c>
      <c r="B223" t="s">
        <v>764</v>
      </c>
      <c r="C223" t="s">
        <v>758</v>
      </c>
      <c r="D223">
        <v>4</v>
      </c>
      <c r="E223" t="s">
        <v>751</v>
      </c>
      <c r="F223" t="s">
        <v>779</v>
      </c>
      <c r="G223" t="str">
        <f t="shared" si="19"/>
        <v>B</v>
      </c>
      <c r="H223">
        <f>_xlfn.XLOOKUP(Table2[[#This Row],[Zone]],Table1[Row],Table1[Max Bay],_xleta.NA,0)</f>
        <v>12</v>
      </c>
      <c r="I223" s="1" t="str">
        <f t="shared" si="15"/>
        <v>06</v>
      </c>
      <c r="J223">
        <f t="shared" si="16"/>
        <v>4</v>
      </c>
      <c r="K223" t="str">
        <f>_xlfn.XLOOKUP(Table2[[#This Row],[Row]],Table1[Row],Table1[StartSide],0)</f>
        <v>L</v>
      </c>
      <c r="L223" t="str">
        <f t="shared" si="17"/>
        <v>L</v>
      </c>
      <c r="M223" t="str">
        <f t="shared" si="18"/>
        <v>PS1_B06_4_L</v>
      </c>
    </row>
    <row r="224" spans="1:13" x14ac:dyDescent="0.25">
      <c r="A224" t="s">
        <v>231</v>
      </c>
      <c r="B224" t="s">
        <v>764</v>
      </c>
      <c r="C224" t="s">
        <v>758</v>
      </c>
      <c r="D224">
        <v>4</v>
      </c>
      <c r="E224" t="s">
        <v>752</v>
      </c>
      <c r="F224" t="s">
        <v>779</v>
      </c>
      <c r="G224" t="str">
        <f t="shared" si="19"/>
        <v>B</v>
      </c>
      <c r="H224">
        <f>_xlfn.XLOOKUP(Table2[[#This Row],[Zone]],Table1[Row],Table1[Max Bay],_xleta.NA,0)</f>
        <v>12</v>
      </c>
      <c r="I224" s="1" t="str">
        <f t="shared" si="15"/>
        <v>06</v>
      </c>
      <c r="J224">
        <f t="shared" si="16"/>
        <v>4</v>
      </c>
      <c r="K224" t="str">
        <f>_xlfn.XLOOKUP(Table2[[#This Row],[Row]],Table1[Row],Table1[StartSide],0)</f>
        <v>L</v>
      </c>
      <c r="L224" t="str">
        <f t="shared" si="17"/>
        <v>R</v>
      </c>
      <c r="M224" t="str">
        <f t="shared" si="18"/>
        <v>PS1_B06_4_R</v>
      </c>
    </row>
    <row r="225" spans="1:13" x14ac:dyDescent="0.25">
      <c r="A225" t="s">
        <v>232</v>
      </c>
      <c r="B225" t="s">
        <v>764</v>
      </c>
      <c r="C225" t="s">
        <v>758</v>
      </c>
      <c r="D225">
        <v>5</v>
      </c>
      <c r="E225" t="s">
        <v>751</v>
      </c>
      <c r="F225" t="s">
        <v>779</v>
      </c>
      <c r="G225" t="str">
        <f t="shared" si="19"/>
        <v>B</v>
      </c>
      <c r="H225">
        <f>_xlfn.XLOOKUP(Table2[[#This Row],[Zone]],Table1[Row],Table1[Max Bay],_xleta.NA,0)</f>
        <v>12</v>
      </c>
      <c r="I225" s="1" t="str">
        <f t="shared" si="15"/>
        <v>06</v>
      </c>
      <c r="J225">
        <f t="shared" si="16"/>
        <v>5</v>
      </c>
      <c r="K225" t="str">
        <f>_xlfn.XLOOKUP(Table2[[#This Row],[Row]],Table1[Row],Table1[StartSide],0)</f>
        <v>L</v>
      </c>
      <c r="L225" t="str">
        <f t="shared" si="17"/>
        <v>L</v>
      </c>
      <c r="M225" t="str">
        <f t="shared" si="18"/>
        <v>PS1_B06_5_L</v>
      </c>
    </row>
    <row r="226" spans="1:13" x14ac:dyDescent="0.25">
      <c r="A226" t="s">
        <v>233</v>
      </c>
      <c r="B226" t="s">
        <v>764</v>
      </c>
      <c r="C226" t="s">
        <v>758</v>
      </c>
      <c r="D226">
        <v>5</v>
      </c>
      <c r="E226" t="s">
        <v>752</v>
      </c>
      <c r="F226" t="s">
        <v>779</v>
      </c>
      <c r="G226" t="str">
        <f t="shared" si="19"/>
        <v>B</v>
      </c>
      <c r="H226">
        <f>_xlfn.XLOOKUP(Table2[[#This Row],[Zone]],Table1[Row],Table1[Max Bay],_xleta.NA,0)</f>
        <v>12</v>
      </c>
      <c r="I226" s="1" t="str">
        <f t="shared" si="15"/>
        <v>06</v>
      </c>
      <c r="J226">
        <f t="shared" si="16"/>
        <v>5</v>
      </c>
      <c r="K226" t="str">
        <f>_xlfn.XLOOKUP(Table2[[#This Row],[Row]],Table1[Row],Table1[StartSide],0)</f>
        <v>L</v>
      </c>
      <c r="L226" t="str">
        <f t="shared" si="17"/>
        <v>R</v>
      </c>
      <c r="M226" t="str">
        <f t="shared" si="18"/>
        <v>PS1_B06_5_R</v>
      </c>
    </row>
    <row r="227" spans="1:13" x14ac:dyDescent="0.25">
      <c r="A227" t="s">
        <v>234</v>
      </c>
      <c r="B227" t="s">
        <v>764</v>
      </c>
      <c r="C227" t="s">
        <v>758</v>
      </c>
      <c r="D227">
        <v>6</v>
      </c>
      <c r="E227" t="s">
        <v>751</v>
      </c>
      <c r="F227" t="s">
        <v>779</v>
      </c>
      <c r="G227" t="str">
        <f t="shared" si="19"/>
        <v>B</v>
      </c>
      <c r="H227">
        <f>_xlfn.XLOOKUP(Table2[[#This Row],[Zone]],Table1[Row],Table1[Max Bay],_xleta.NA,0)</f>
        <v>12</v>
      </c>
      <c r="I227" s="1" t="str">
        <f t="shared" si="15"/>
        <v>06</v>
      </c>
      <c r="J227">
        <f t="shared" si="16"/>
        <v>6</v>
      </c>
      <c r="K227" t="str">
        <f>_xlfn.XLOOKUP(Table2[[#This Row],[Row]],Table1[Row],Table1[StartSide],0)</f>
        <v>L</v>
      </c>
      <c r="L227" t="str">
        <f t="shared" si="17"/>
        <v>L</v>
      </c>
      <c r="M227" t="str">
        <f t="shared" si="18"/>
        <v>PS1_B06_6_L</v>
      </c>
    </row>
    <row r="228" spans="1:13" x14ac:dyDescent="0.25">
      <c r="A228" t="s">
        <v>235</v>
      </c>
      <c r="B228" t="s">
        <v>764</v>
      </c>
      <c r="C228" t="s">
        <v>758</v>
      </c>
      <c r="D228">
        <v>6</v>
      </c>
      <c r="E228" t="s">
        <v>752</v>
      </c>
      <c r="F228" t="s">
        <v>779</v>
      </c>
      <c r="G228" t="str">
        <f t="shared" si="19"/>
        <v>B</v>
      </c>
      <c r="H228">
        <f>_xlfn.XLOOKUP(Table2[[#This Row],[Zone]],Table1[Row],Table1[Max Bay],_xleta.NA,0)</f>
        <v>12</v>
      </c>
      <c r="I228" s="1" t="str">
        <f t="shared" si="15"/>
        <v>06</v>
      </c>
      <c r="J228">
        <f t="shared" si="16"/>
        <v>6</v>
      </c>
      <c r="K228" t="str">
        <f>_xlfn.XLOOKUP(Table2[[#This Row],[Row]],Table1[Row],Table1[StartSide],0)</f>
        <v>L</v>
      </c>
      <c r="L228" t="str">
        <f t="shared" si="17"/>
        <v>R</v>
      </c>
      <c r="M228" t="str">
        <f t="shared" si="18"/>
        <v>PS1_B06_6_R</v>
      </c>
    </row>
    <row r="229" spans="1:13" x14ac:dyDescent="0.25">
      <c r="A229" t="s">
        <v>236</v>
      </c>
      <c r="B229" t="s">
        <v>764</v>
      </c>
      <c r="C229" t="s">
        <v>759</v>
      </c>
      <c r="D229">
        <v>1</v>
      </c>
      <c r="E229" t="s">
        <v>751</v>
      </c>
      <c r="F229" t="s">
        <v>779</v>
      </c>
      <c r="G229" t="str">
        <f t="shared" si="19"/>
        <v>B</v>
      </c>
      <c r="H229">
        <f>_xlfn.XLOOKUP(Table2[[#This Row],[Zone]],Table1[Row],Table1[Max Bay],_xleta.NA,0)</f>
        <v>12</v>
      </c>
      <c r="I229" s="1" t="str">
        <f t="shared" si="15"/>
        <v>05</v>
      </c>
      <c r="J229">
        <f t="shared" si="16"/>
        <v>1</v>
      </c>
      <c r="K229" t="str">
        <f>_xlfn.XLOOKUP(Table2[[#This Row],[Row]],Table1[Row],Table1[StartSide],0)</f>
        <v>L</v>
      </c>
      <c r="L229" t="str">
        <f t="shared" si="17"/>
        <v>L</v>
      </c>
      <c r="M229" t="str">
        <f t="shared" si="18"/>
        <v>PS1_B05_1_L</v>
      </c>
    </row>
    <row r="230" spans="1:13" x14ac:dyDescent="0.25">
      <c r="A230" t="s">
        <v>237</v>
      </c>
      <c r="B230" t="s">
        <v>764</v>
      </c>
      <c r="C230" t="s">
        <v>759</v>
      </c>
      <c r="D230">
        <v>1</v>
      </c>
      <c r="E230" t="s">
        <v>752</v>
      </c>
      <c r="F230" t="s">
        <v>779</v>
      </c>
      <c r="G230" t="str">
        <f t="shared" si="19"/>
        <v>B</v>
      </c>
      <c r="H230">
        <f>_xlfn.XLOOKUP(Table2[[#This Row],[Zone]],Table1[Row],Table1[Max Bay],_xleta.NA,0)</f>
        <v>12</v>
      </c>
      <c r="I230" s="1" t="str">
        <f t="shared" si="15"/>
        <v>05</v>
      </c>
      <c r="J230">
        <f t="shared" si="16"/>
        <v>1</v>
      </c>
      <c r="K230" t="str">
        <f>_xlfn.XLOOKUP(Table2[[#This Row],[Row]],Table1[Row],Table1[StartSide],0)</f>
        <v>L</v>
      </c>
      <c r="L230" t="str">
        <f t="shared" si="17"/>
        <v>R</v>
      </c>
      <c r="M230" t="str">
        <f t="shared" si="18"/>
        <v>PS1_B05_1_R</v>
      </c>
    </row>
    <row r="231" spans="1:13" x14ac:dyDescent="0.25">
      <c r="A231" t="s">
        <v>238</v>
      </c>
      <c r="B231" t="s">
        <v>764</v>
      </c>
      <c r="C231" t="s">
        <v>759</v>
      </c>
      <c r="D231">
        <v>2</v>
      </c>
      <c r="E231" t="s">
        <v>751</v>
      </c>
      <c r="F231" t="s">
        <v>779</v>
      </c>
      <c r="G231" t="str">
        <f t="shared" si="19"/>
        <v>B</v>
      </c>
      <c r="H231">
        <f>_xlfn.XLOOKUP(Table2[[#This Row],[Zone]],Table1[Row],Table1[Max Bay],_xleta.NA,0)</f>
        <v>12</v>
      </c>
      <c r="I231" s="1" t="str">
        <f t="shared" si="15"/>
        <v>05</v>
      </c>
      <c r="J231">
        <f t="shared" si="16"/>
        <v>2</v>
      </c>
      <c r="K231" t="str">
        <f>_xlfn.XLOOKUP(Table2[[#This Row],[Row]],Table1[Row],Table1[StartSide],0)</f>
        <v>L</v>
      </c>
      <c r="L231" t="str">
        <f t="shared" si="17"/>
        <v>L</v>
      </c>
      <c r="M231" t="str">
        <f t="shared" si="18"/>
        <v>PS1_B05_2_L</v>
      </c>
    </row>
    <row r="232" spans="1:13" x14ac:dyDescent="0.25">
      <c r="A232" t="s">
        <v>239</v>
      </c>
      <c r="B232" t="s">
        <v>764</v>
      </c>
      <c r="C232" t="s">
        <v>759</v>
      </c>
      <c r="D232">
        <v>2</v>
      </c>
      <c r="E232" t="s">
        <v>752</v>
      </c>
      <c r="F232" t="s">
        <v>779</v>
      </c>
      <c r="G232" t="str">
        <f t="shared" si="19"/>
        <v>B</v>
      </c>
      <c r="H232">
        <f>_xlfn.XLOOKUP(Table2[[#This Row],[Zone]],Table1[Row],Table1[Max Bay],_xleta.NA,0)</f>
        <v>12</v>
      </c>
      <c r="I232" s="1" t="str">
        <f t="shared" si="15"/>
        <v>05</v>
      </c>
      <c r="J232">
        <f t="shared" si="16"/>
        <v>2</v>
      </c>
      <c r="K232" t="str">
        <f>_xlfn.XLOOKUP(Table2[[#This Row],[Row]],Table1[Row],Table1[StartSide],0)</f>
        <v>L</v>
      </c>
      <c r="L232" t="str">
        <f t="shared" si="17"/>
        <v>R</v>
      </c>
      <c r="M232" t="str">
        <f t="shared" si="18"/>
        <v>PS1_B05_2_R</v>
      </c>
    </row>
    <row r="233" spans="1:13" x14ac:dyDescent="0.25">
      <c r="A233" t="s">
        <v>240</v>
      </c>
      <c r="B233" t="s">
        <v>764</v>
      </c>
      <c r="C233" t="s">
        <v>759</v>
      </c>
      <c r="D233">
        <v>3</v>
      </c>
      <c r="E233" t="s">
        <v>751</v>
      </c>
      <c r="F233" t="s">
        <v>779</v>
      </c>
      <c r="G233" t="str">
        <f t="shared" si="19"/>
        <v>B</v>
      </c>
      <c r="H233">
        <f>_xlfn.XLOOKUP(Table2[[#This Row],[Zone]],Table1[Row],Table1[Max Bay],_xleta.NA,0)</f>
        <v>12</v>
      </c>
      <c r="I233" s="1" t="str">
        <f t="shared" si="15"/>
        <v>05</v>
      </c>
      <c r="J233">
        <f t="shared" si="16"/>
        <v>3</v>
      </c>
      <c r="K233" t="str">
        <f>_xlfn.XLOOKUP(Table2[[#This Row],[Row]],Table1[Row],Table1[StartSide],0)</f>
        <v>L</v>
      </c>
      <c r="L233" t="str">
        <f t="shared" si="17"/>
        <v>L</v>
      </c>
      <c r="M233" t="str">
        <f t="shared" si="18"/>
        <v>PS1_B05_3_L</v>
      </c>
    </row>
    <row r="234" spans="1:13" x14ac:dyDescent="0.25">
      <c r="A234" t="s">
        <v>241</v>
      </c>
      <c r="B234" t="s">
        <v>764</v>
      </c>
      <c r="C234" t="s">
        <v>759</v>
      </c>
      <c r="D234">
        <v>3</v>
      </c>
      <c r="E234" t="s">
        <v>752</v>
      </c>
      <c r="F234" t="s">
        <v>779</v>
      </c>
      <c r="G234" t="str">
        <f t="shared" si="19"/>
        <v>B</v>
      </c>
      <c r="H234">
        <f>_xlfn.XLOOKUP(Table2[[#This Row],[Zone]],Table1[Row],Table1[Max Bay],_xleta.NA,0)</f>
        <v>12</v>
      </c>
      <c r="I234" s="1" t="str">
        <f t="shared" si="15"/>
        <v>05</v>
      </c>
      <c r="J234">
        <f t="shared" si="16"/>
        <v>3</v>
      </c>
      <c r="K234" t="str">
        <f>_xlfn.XLOOKUP(Table2[[#This Row],[Row]],Table1[Row],Table1[StartSide],0)</f>
        <v>L</v>
      </c>
      <c r="L234" t="str">
        <f t="shared" si="17"/>
        <v>R</v>
      </c>
      <c r="M234" t="str">
        <f t="shared" si="18"/>
        <v>PS1_B05_3_R</v>
      </c>
    </row>
    <row r="235" spans="1:13" x14ac:dyDescent="0.25">
      <c r="A235" t="s">
        <v>242</v>
      </c>
      <c r="B235" t="s">
        <v>764</v>
      </c>
      <c r="C235" t="s">
        <v>759</v>
      </c>
      <c r="D235">
        <v>4</v>
      </c>
      <c r="E235" t="s">
        <v>751</v>
      </c>
      <c r="F235" t="s">
        <v>779</v>
      </c>
      <c r="G235" t="str">
        <f t="shared" si="19"/>
        <v>B</v>
      </c>
      <c r="H235">
        <f>_xlfn.XLOOKUP(Table2[[#This Row],[Zone]],Table1[Row],Table1[Max Bay],_xleta.NA,0)</f>
        <v>12</v>
      </c>
      <c r="I235" s="1" t="str">
        <f t="shared" si="15"/>
        <v>05</v>
      </c>
      <c r="J235">
        <f t="shared" si="16"/>
        <v>4</v>
      </c>
      <c r="K235" t="str">
        <f>_xlfn.XLOOKUP(Table2[[#This Row],[Row]],Table1[Row],Table1[StartSide],0)</f>
        <v>L</v>
      </c>
      <c r="L235" t="str">
        <f t="shared" si="17"/>
        <v>L</v>
      </c>
      <c r="M235" t="str">
        <f t="shared" si="18"/>
        <v>PS1_B05_4_L</v>
      </c>
    </row>
    <row r="236" spans="1:13" x14ac:dyDescent="0.25">
      <c r="A236" t="s">
        <v>243</v>
      </c>
      <c r="B236" t="s">
        <v>764</v>
      </c>
      <c r="C236" t="s">
        <v>759</v>
      </c>
      <c r="D236">
        <v>4</v>
      </c>
      <c r="E236" t="s">
        <v>752</v>
      </c>
      <c r="F236" t="s">
        <v>779</v>
      </c>
      <c r="G236" t="str">
        <f t="shared" si="19"/>
        <v>B</v>
      </c>
      <c r="H236">
        <f>_xlfn.XLOOKUP(Table2[[#This Row],[Zone]],Table1[Row],Table1[Max Bay],_xleta.NA,0)</f>
        <v>12</v>
      </c>
      <c r="I236" s="1" t="str">
        <f t="shared" si="15"/>
        <v>05</v>
      </c>
      <c r="J236">
        <f t="shared" si="16"/>
        <v>4</v>
      </c>
      <c r="K236" t="str">
        <f>_xlfn.XLOOKUP(Table2[[#This Row],[Row]],Table1[Row],Table1[StartSide],0)</f>
        <v>L</v>
      </c>
      <c r="L236" t="str">
        <f t="shared" si="17"/>
        <v>R</v>
      </c>
      <c r="M236" t="str">
        <f t="shared" si="18"/>
        <v>PS1_B05_4_R</v>
      </c>
    </row>
    <row r="237" spans="1:13" x14ac:dyDescent="0.25">
      <c r="A237" t="s">
        <v>244</v>
      </c>
      <c r="B237" t="s">
        <v>764</v>
      </c>
      <c r="C237" t="s">
        <v>759</v>
      </c>
      <c r="D237">
        <v>5</v>
      </c>
      <c r="E237" t="s">
        <v>751</v>
      </c>
      <c r="F237" t="s">
        <v>779</v>
      </c>
      <c r="G237" t="str">
        <f t="shared" si="19"/>
        <v>B</v>
      </c>
      <c r="H237">
        <f>_xlfn.XLOOKUP(Table2[[#This Row],[Zone]],Table1[Row],Table1[Max Bay],_xleta.NA,0)</f>
        <v>12</v>
      </c>
      <c r="I237" s="1" t="str">
        <f t="shared" si="15"/>
        <v>05</v>
      </c>
      <c r="J237">
        <f t="shared" si="16"/>
        <v>5</v>
      </c>
      <c r="K237" t="str">
        <f>_xlfn.XLOOKUP(Table2[[#This Row],[Row]],Table1[Row],Table1[StartSide],0)</f>
        <v>L</v>
      </c>
      <c r="L237" t="str">
        <f t="shared" si="17"/>
        <v>L</v>
      </c>
      <c r="M237" t="str">
        <f t="shared" si="18"/>
        <v>PS1_B05_5_L</v>
      </c>
    </row>
    <row r="238" spans="1:13" x14ac:dyDescent="0.25">
      <c r="A238" t="s">
        <v>245</v>
      </c>
      <c r="B238" t="s">
        <v>764</v>
      </c>
      <c r="C238" t="s">
        <v>759</v>
      </c>
      <c r="D238">
        <v>5</v>
      </c>
      <c r="E238" t="s">
        <v>752</v>
      </c>
      <c r="F238" t="s">
        <v>779</v>
      </c>
      <c r="G238" t="str">
        <f t="shared" si="19"/>
        <v>B</v>
      </c>
      <c r="H238">
        <f>_xlfn.XLOOKUP(Table2[[#This Row],[Zone]],Table1[Row],Table1[Max Bay],_xleta.NA,0)</f>
        <v>12</v>
      </c>
      <c r="I238" s="1" t="str">
        <f t="shared" si="15"/>
        <v>05</v>
      </c>
      <c r="J238">
        <f t="shared" si="16"/>
        <v>5</v>
      </c>
      <c r="K238" t="str">
        <f>_xlfn.XLOOKUP(Table2[[#This Row],[Row]],Table1[Row],Table1[StartSide],0)</f>
        <v>L</v>
      </c>
      <c r="L238" t="str">
        <f t="shared" si="17"/>
        <v>R</v>
      </c>
      <c r="M238" t="str">
        <f t="shared" si="18"/>
        <v>PS1_B05_5_R</v>
      </c>
    </row>
    <row r="239" spans="1:13" x14ac:dyDescent="0.25">
      <c r="A239" t="s">
        <v>246</v>
      </c>
      <c r="B239" t="s">
        <v>764</v>
      </c>
      <c r="C239" t="s">
        <v>759</v>
      </c>
      <c r="D239">
        <v>6</v>
      </c>
      <c r="E239" t="s">
        <v>751</v>
      </c>
      <c r="F239" t="s">
        <v>779</v>
      </c>
      <c r="G239" t="str">
        <f t="shared" si="19"/>
        <v>B</v>
      </c>
      <c r="H239">
        <f>_xlfn.XLOOKUP(Table2[[#This Row],[Zone]],Table1[Row],Table1[Max Bay],_xleta.NA,0)</f>
        <v>12</v>
      </c>
      <c r="I239" s="1" t="str">
        <f t="shared" si="15"/>
        <v>05</v>
      </c>
      <c r="J239">
        <f t="shared" si="16"/>
        <v>6</v>
      </c>
      <c r="K239" t="str">
        <f>_xlfn.XLOOKUP(Table2[[#This Row],[Row]],Table1[Row],Table1[StartSide],0)</f>
        <v>L</v>
      </c>
      <c r="L239" t="str">
        <f t="shared" si="17"/>
        <v>L</v>
      </c>
      <c r="M239" t="str">
        <f t="shared" si="18"/>
        <v>PS1_B05_6_L</v>
      </c>
    </row>
    <row r="240" spans="1:13" x14ac:dyDescent="0.25">
      <c r="A240" t="s">
        <v>247</v>
      </c>
      <c r="B240" t="s">
        <v>764</v>
      </c>
      <c r="C240" t="s">
        <v>759</v>
      </c>
      <c r="D240">
        <v>6</v>
      </c>
      <c r="E240" t="s">
        <v>752</v>
      </c>
      <c r="F240" t="s">
        <v>779</v>
      </c>
      <c r="G240" t="str">
        <f t="shared" si="19"/>
        <v>B</v>
      </c>
      <c r="H240">
        <f>_xlfn.XLOOKUP(Table2[[#This Row],[Zone]],Table1[Row],Table1[Max Bay],_xleta.NA,0)</f>
        <v>12</v>
      </c>
      <c r="I240" s="1" t="str">
        <f t="shared" si="15"/>
        <v>05</v>
      </c>
      <c r="J240">
        <f t="shared" si="16"/>
        <v>6</v>
      </c>
      <c r="K240" t="str">
        <f>_xlfn.XLOOKUP(Table2[[#This Row],[Row]],Table1[Row],Table1[StartSide],0)</f>
        <v>L</v>
      </c>
      <c r="L240" t="str">
        <f t="shared" si="17"/>
        <v>R</v>
      </c>
      <c r="M240" t="str">
        <f t="shared" si="18"/>
        <v>PS1_B05_6_R</v>
      </c>
    </row>
    <row r="241" spans="1:13" x14ac:dyDescent="0.25">
      <c r="A241" t="s">
        <v>248</v>
      </c>
      <c r="B241" t="s">
        <v>764</v>
      </c>
      <c r="C241" t="s">
        <v>760</v>
      </c>
      <c r="D241">
        <v>1</v>
      </c>
      <c r="E241" t="s">
        <v>751</v>
      </c>
      <c r="F241" t="s">
        <v>779</v>
      </c>
      <c r="G241" t="str">
        <f t="shared" si="19"/>
        <v>B</v>
      </c>
      <c r="H241">
        <f>_xlfn.XLOOKUP(Table2[[#This Row],[Zone]],Table1[Row],Table1[Max Bay],_xleta.NA,0)</f>
        <v>12</v>
      </c>
      <c r="I241" s="1" t="str">
        <f t="shared" si="15"/>
        <v>04</v>
      </c>
      <c r="J241">
        <f t="shared" si="16"/>
        <v>1</v>
      </c>
      <c r="K241" t="str">
        <f>_xlfn.XLOOKUP(Table2[[#This Row],[Row]],Table1[Row],Table1[StartSide],0)</f>
        <v>L</v>
      </c>
      <c r="L241" t="str">
        <f t="shared" si="17"/>
        <v>L</v>
      </c>
      <c r="M241" t="str">
        <f t="shared" si="18"/>
        <v>PS1_B04_1_L</v>
      </c>
    </row>
    <row r="242" spans="1:13" x14ac:dyDescent="0.25">
      <c r="A242" t="s">
        <v>249</v>
      </c>
      <c r="B242" t="s">
        <v>764</v>
      </c>
      <c r="C242" t="s">
        <v>760</v>
      </c>
      <c r="D242">
        <v>1</v>
      </c>
      <c r="E242" t="s">
        <v>752</v>
      </c>
      <c r="F242" t="s">
        <v>779</v>
      </c>
      <c r="G242" t="str">
        <f t="shared" si="19"/>
        <v>B</v>
      </c>
      <c r="H242">
        <f>_xlfn.XLOOKUP(Table2[[#This Row],[Zone]],Table1[Row],Table1[Max Bay],_xleta.NA,0)</f>
        <v>12</v>
      </c>
      <c r="I242" s="1" t="str">
        <f t="shared" si="15"/>
        <v>04</v>
      </c>
      <c r="J242">
        <f t="shared" si="16"/>
        <v>1</v>
      </c>
      <c r="K242" t="str">
        <f>_xlfn.XLOOKUP(Table2[[#This Row],[Row]],Table1[Row],Table1[StartSide],0)</f>
        <v>L</v>
      </c>
      <c r="L242" t="str">
        <f t="shared" si="17"/>
        <v>R</v>
      </c>
      <c r="M242" t="str">
        <f t="shared" si="18"/>
        <v>PS1_B04_1_R</v>
      </c>
    </row>
    <row r="243" spans="1:13" x14ac:dyDescent="0.25">
      <c r="A243" t="s">
        <v>250</v>
      </c>
      <c r="B243" t="s">
        <v>764</v>
      </c>
      <c r="C243" t="s">
        <v>760</v>
      </c>
      <c r="D243">
        <v>2</v>
      </c>
      <c r="E243" t="s">
        <v>751</v>
      </c>
      <c r="F243" t="s">
        <v>779</v>
      </c>
      <c r="G243" t="str">
        <f t="shared" si="19"/>
        <v>B</v>
      </c>
      <c r="H243">
        <f>_xlfn.XLOOKUP(Table2[[#This Row],[Zone]],Table1[Row],Table1[Max Bay],_xleta.NA,0)</f>
        <v>12</v>
      </c>
      <c r="I243" s="1" t="str">
        <f t="shared" si="15"/>
        <v>04</v>
      </c>
      <c r="J243">
        <f t="shared" si="16"/>
        <v>2</v>
      </c>
      <c r="K243" t="str">
        <f>_xlfn.XLOOKUP(Table2[[#This Row],[Row]],Table1[Row],Table1[StartSide],0)</f>
        <v>L</v>
      </c>
      <c r="L243" t="str">
        <f t="shared" si="17"/>
        <v>L</v>
      </c>
      <c r="M243" t="str">
        <f t="shared" si="18"/>
        <v>PS1_B04_2_L</v>
      </c>
    </row>
    <row r="244" spans="1:13" x14ac:dyDescent="0.25">
      <c r="A244" t="s">
        <v>251</v>
      </c>
      <c r="B244" t="s">
        <v>764</v>
      </c>
      <c r="C244" t="s">
        <v>760</v>
      </c>
      <c r="D244">
        <v>2</v>
      </c>
      <c r="E244" t="s">
        <v>752</v>
      </c>
      <c r="F244" t="s">
        <v>779</v>
      </c>
      <c r="G244" t="str">
        <f t="shared" si="19"/>
        <v>B</v>
      </c>
      <c r="H244">
        <f>_xlfn.XLOOKUP(Table2[[#This Row],[Zone]],Table1[Row],Table1[Max Bay],_xleta.NA,0)</f>
        <v>12</v>
      </c>
      <c r="I244" s="1" t="str">
        <f t="shared" si="15"/>
        <v>04</v>
      </c>
      <c r="J244">
        <f t="shared" si="16"/>
        <v>2</v>
      </c>
      <c r="K244" t="str">
        <f>_xlfn.XLOOKUP(Table2[[#This Row],[Row]],Table1[Row],Table1[StartSide],0)</f>
        <v>L</v>
      </c>
      <c r="L244" t="str">
        <f t="shared" si="17"/>
        <v>R</v>
      </c>
      <c r="M244" t="str">
        <f t="shared" si="18"/>
        <v>PS1_B04_2_R</v>
      </c>
    </row>
    <row r="245" spans="1:13" x14ac:dyDescent="0.25">
      <c r="A245" t="s">
        <v>252</v>
      </c>
      <c r="B245" t="s">
        <v>764</v>
      </c>
      <c r="C245" t="s">
        <v>760</v>
      </c>
      <c r="D245">
        <v>3</v>
      </c>
      <c r="E245" t="s">
        <v>751</v>
      </c>
      <c r="F245" t="s">
        <v>779</v>
      </c>
      <c r="G245" t="str">
        <f t="shared" si="19"/>
        <v>B</v>
      </c>
      <c r="H245">
        <f>_xlfn.XLOOKUP(Table2[[#This Row],[Zone]],Table1[Row],Table1[Max Bay],_xleta.NA,0)</f>
        <v>12</v>
      </c>
      <c r="I245" s="1" t="str">
        <f t="shared" si="15"/>
        <v>04</v>
      </c>
      <c r="J245">
        <f t="shared" si="16"/>
        <v>3</v>
      </c>
      <c r="K245" t="str">
        <f>_xlfn.XLOOKUP(Table2[[#This Row],[Row]],Table1[Row],Table1[StartSide],0)</f>
        <v>L</v>
      </c>
      <c r="L245" t="str">
        <f t="shared" si="17"/>
        <v>L</v>
      </c>
      <c r="M245" t="str">
        <f t="shared" si="18"/>
        <v>PS1_B04_3_L</v>
      </c>
    </row>
    <row r="246" spans="1:13" x14ac:dyDescent="0.25">
      <c r="A246" t="s">
        <v>253</v>
      </c>
      <c r="B246" t="s">
        <v>764</v>
      </c>
      <c r="C246" t="s">
        <v>760</v>
      </c>
      <c r="D246">
        <v>3</v>
      </c>
      <c r="E246" t="s">
        <v>752</v>
      </c>
      <c r="F246" t="s">
        <v>779</v>
      </c>
      <c r="G246" t="str">
        <f t="shared" si="19"/>
        <v>B</v>
      </c>
      <c r="H246">
        <f>_xlfn.XLOOKUP(Table2[[#This Row],[Zone]],Table1[Row],Table1[Max Bay],_xleta.NA,0)</f>
        <v>12</v>
      </c>
      <c r="I246" s="1" t="str">
        <f t="shared" si="15"/>
        <v>04</v>
      </c>
      <c r="J246">
        <f t="shared" si="16"/>
        <v>3</v>
      </c>
      <c r="K246" t="str">
        <f>_xlfn.XLOOKUP(Table2[[#This Row],[Row]],Table1[Row],Table1[StartSide],0)</f>
        <v>L</v>
      </c>
      <c r="L246" t="str">
        <f t="shared" si="17"/>
        <v>R</v>
      </c>
      <c r="M246" t="str">
        <f t="shared" si="18"/>
        <v>PS1_B04_3_R</v>
      </c>
    </row>
    <row r="247" spans="1:13" x14ac:dyDescent="0.25">
      <c r="A247" t="s">
        <v>254</v>
      </c>
      <c r="B247" t="s">
        <v>764</v>
      </c>
      <c r="C247" t="s">
        <v>760</v>
      </c>
      <c r="D247">
        <v>4</v>
      </c>
      <c r="E247" t="s">
        <v>751</v>
      </c>
      <c r="F247" t="s">
        <v>779</v>
      </c>
      <c r="G247" t="str">
        <f t="shared" si="19"/>
        <v>B</v>
      </c>
      <c r="H247">
        <f>_xlfn.XLOOKUP(Table2[[#This Row],[Zone]],Table1[Row],Table1[Max Bay],_xleta.NA,0)</f>
        <v>12</v>
      </c>
      <c r="I247" s="1" t="str">
        <f t="shared" si="15"/>
        <v>04</v>
      </c>
      <c r="J247">
        <f t="shared" si="16"/>
        <v>4</v>
      </c>
      <c r="K247" t="str">
        <f>_xlfn.XLOOKUP(Table2[[#This Row],[Row]],Table1[Row],Table1[StartSide],0)</f>
        <v>L</v>
      </c>
      <c r="L247" t="str">
        <f t="shared" si="17"/>
        <v>L</v>
      </c>
      <c r="M247" t="str">
        <f t="shared" si="18"/>
        <v>PS1_B04_4_L</v>
      </c>
    </row>
    <row r="248" spans="1:13" x14ac:dyDescent="0.25">
      <c r="A248" t="s">
        <v>255</v>
      </c>
      <c r="B248" t="s">
        <v>764</v>
      </c>
      <c r="C248" t="s">
        <v>760</v>
      </c>
      <c r="D248">
        <v>4</v>
      </c>
      <c r="E248" t="s">
        <v>752</v>
      </c>
      <c r="F248" t="s">
        <v>779</v>
      </c>
      <c r="G248" t="str">
        <f t="shared" si="19"/>
        <v>B</v>
      </c>
      <c r="H248">
        <f>_xlfn.XLOOKUP(Table2[[#This Row],[Zone]],Table1[Row],Table1[Max Bay],_xleta.NA,0)</f>
        <v>12</v>
      </c>
      <c r="I248" s="1" t="str">
        <f t="shared" si="15"/>
        <v>04</v>
      </c>
      <c r="J248">
        <f t="shared" si="16"/>
        <v>4</v>
      </c>
      <c r="K248" t="str">
        <f>_xlfn.XLOOKUP(Table2[[#This Row],[Row]],Table1[Row],Table1[StartSide],0)</f>
        <v>L</v>
      </c>
      <c r="L248" t="str">
        <f t="shared" si="17"/>
        <v>R</v>
      </c>
      <c r="M248" t="str">
        <f t="shared" si="18"/>
        <v>PS1_B04_4_R</v>
      </c>
    </row>
    <row r="249" spans="1:13" x14ac:dyDescent="0.25">
      <c r="A249" t="s">
        <v>256</v>
      </c>
      <c r="B249" t="s">
        <v>764</v>
      </c>
      <c r="C249" t="s">
        <v>760</v>
      </c>
      <c r="D249">
        <v>5</v>
      </c>
      <c r="E249" t="s">
        <v>751</v>
      </c>
      <c r="F249" t="s">
        <v>779</v>
      </c>
      <c r="G249" t="str">
        <f t="shared" si="19"/>
        <v>B</v>
      </c>
      <c r="H249">
        <f>_xlfn.XLOOKUP(Table2[[#This Row],[Zone]],Table1[Row],Table1[Max Bay],_xleta.NA,0)</f>
        <v>12</v>
      </c>
      <c r="I249" s="1" t="str">
        <f t="shared" si="15"/>
        <v>04</v>
      </c>
      <c r="J249">
        <f t="shared" si="16"/>
        <v>5</v>
      </c>
      <c r="K249" t="str">
        <f>_xlfn.XLOOKUP(Table2[[#This Row],[Row]],Table1[Row],Table1[StartSide],0)</f>
        <v>L</v>
      </c>
      <c r="L249" t="str">
        <f t="shared" si="17"/>
        <v>L</v>
      </c>
      <c r="M249" t="str">
        <f t="shared" si="18"/>
        <v>PS1_B04_5_L</v>
      </c>
    </row>
    <row r="250" spans="1:13" x14ac:dyDescent="0.25">
      <c r="A250" t="s">
        <v>257</v>
      </c>
      <c r="B250" t="s">
        <v>764</v>
      </c>
      <c r="C250" t="s">
        <v>760</v>
      </c>
      <c r="D250">
        <v>5</v>
      </c>
      <c r="E250" t="s">
        <v>752</v>
      </c>
      <c r="F250" t="s">
        <v>779</v>
      </c>
      <c r="G250" t="str">
        <f t="shared" si="19"/>
        <v>B</v>
      </c>
      <c r="H250">
        <f>_xlfn.XLOOKUP(Table2[[#This Row],[Zone]],Table1[Row],Table1[Max Bay],_xleta.NA,0)</f>
        <v>12</v>
      </c>
      <c r="I250" s="1" t="str">
        <f t="shared" si="15"/>
        <v>04</v>
      </c>
      <c r="J250">
        <f t="shared" si="16"/>
        <v>5</v>
      </c>
      <c r="K250" t="str">
        <f>_xlfn.XLOOKUP(Table2[[#This Row],[Row]],Table1[Row],Table1[StartSide],0)</f>
        <v>L</v>
      </c>
      <c r="L250" t="str">
        <f t="shared" si="17"/>
        <v>R</v>
      </c>
      <c r="M250" t="str">
        <f t="shared" si="18"/>
        <v>PS1_B04_5_R</v>
      </c>
    </row>
    <row r="251" spans="1:13" x14ac:dyDescent="0.25">
      <c r="A251" t="s">
        <v>258</v>
      </c>
      <c r="B251" t="s">
        <v>764</v>
      </c>
      <c r="C251" t="s">
        <v>760</v>
      </c>
      <c r="D251">
        <v>6</v>
      </c>
      <c r="E251" t="s">
        <v>751</v>
      </c>
      <c r="F251" t="s">
        <v>779</v>
      </c>
      <c r="G251" t="str">
        <f t="shared" si="19"/>
        <v>B</v>
      </c>
      <c r="H251">
        <f>_xlfn.XLOOKUP(Table2[[#This Row],[Zone]],Table1[Row],Table1[Max Bay],_xleta.NA,0)</f>
        <v>12</v>
      </c>
      <c r="I251" s="1" t="str">
        <f t="shared" si="15"/>
        <v>04</v>
      </c>
      <c r="J251">
        <f t="shared" si="16"/>
        <v>6</v>
      </c>
      <c r="K251" t="str">
        <f>_xlfn.XLOOKUP(Table2[[#This Row],[Row]],Table1[Row],Table1[StartSide],0)</f>
        <v>L</v>
      </c>
      <c r="L251" t="str">
        <f t="shared" si="17"/>
        <v>L</v>
      </c>
      <c r="M251" t="str">
        <f t="shared" si="18"/>
        <v>PS1_B04_6_L</v>
      </c>
    </row>
    <row r="252" spans="1:13" x14ac:dyDescent="0.25">
      <c r="A252" t="s">
        <v>259</v>
      </c>
      <c r="B252" t="s">
        <v>764</v>
      </c>
      <c r="C252" t="s">
        <v>760</v>
      </c>
      <c r="D252">
        <v>6</v>
      </c>
      <c r="E252" t="s">
        <v>752</v>
      </c>
      <c r="F252" t="s">
        <v>779</v>
      </c>
      <c r="G252" t="str">
        <f t="shared" si="19"/>
        <v>B</v>
      </c>
      <c r="H252">
        <f>_xlfn.XLOOKUP(Table2[[#This Row],[Zone]],Table1[Row],Table1[Max Bay],_xleta.NA,0)</f>
        <v>12</v>
      </c>
      <c r="I252" s="1" t="str">
        <f t="shared" si="15"/>
        <v>04</v>
      </c>
      <c r="J252">
        <f t="shared" si="16"/>
        <v>6</v>
      </c>
      <c r="K252" t="str">
        <f>_xlfn.XLOOKUP(Table2[[#This Row],[Row]],Table1[Row],Table1[StartSide],0)</f>
        <v>L</v>
      </c>
      <c r="L252" t="str">
        <f t="shared" si="17"/>
        <v>R</v>
      </c>
      <c r="M252" t="str">
        <f t="shared" si="18"/>
        <v>PS1_B04_6_R</v>
      </c>
    </row>
    <row r="253" spans="1:13" x14ac:dyDescent="0.25">
      <c r="A253" t="s">
        <v>260</v>
      </c>
      <c r="B253" t="s">
        <v>764</v>
      </c>
      <c r="C253" t="s">
        <v>761</v>
      </c>
      <c r="D253">
        <v>1</v>
      </c>
      <c r="E253" t="s">
        <v>751</v>
      </c>
      <c r="F253" t="s">
        <v>779</v>
      </c>
      <c r="G253" t="str">
        <f t="shared" si="19"/>
        <v>B</v>
      </c>
      <c r="H253">
        <f>_xlfn.XLOOKUP(Table2[[#This Row],[Zone]],Table1[Row],Table1[Max Bay],_xleta.NA,0)</f>
        <v>12</v>
      </c>
      <c r="I253" s="1" t="str">
        <f t="shared" si="15"/>
        <v>03</v>
      </c>
      <c r="J253">
        <f t="shared" si="16"/>
        <v>1</v>
      </c>
      <c r="K253" t="str">
        <f>_xlfn.XLOOKUP(Table2[[#This Row],[Row]],Table1[Row],Table1[StartSide],0)</f>
        <v>L</v>
      </c>
      <c r="L253" t="str">
        <f t="shared" si="17"/>
        <v>L</v>
      </c>
      <c r="M253" t="str">
        <f t="shared" si="18"/>
        <v>PS1_B03_1_L</v>
      </c>
    </row>
    <row r="254" spans="1:13" x14ac:dyDescent="0.25">
      <c r="A254" t="s">
        <v>261</v>
      </c>
      <c r="B254" t="s">
        <v>764</v>
      </c>
      <c r="C254" t="s">
        <v>761</v>
      </c>
      <c r="D254">
        <v>1</v>
      </c>
      <c r="E254" t="s">
        <v>752</v>
      </c>
      <c r="F254" t="s">
        <v>779</v>
      </c>
      <c r="G254" t="str">
        <f t="shared" si="19"/>
        <v>B</v>
      </c>
      <c r="H254">
        <f>_xlfn.XLOOKUP(Table2[[#This Row],[Zone]],Table1[Row],Table1[Max Bay],_xleta.NA,0)</f>
        <v>12</v>
      </c>
      <c r="I254" s="1" t="str">
        <f t="shared" si="15"/>
        <v>03</v>
      </c>
      <c r="J254">
        <f t="shared" si="16"/>
        <v>1</v>
      </c>
      <c r="K254" t="str">
        <f>_xlfn.XLOOKUP(Table2[[#This Row],[Row]],Table1[Row],Table1[StartSide],0)</f>
        <v>L</v>
      </c>
      <c r="L254" t="str">
        <f t="shared" si="17"/>
        <v>R</v>
      </c>
      <c r="M254" t="str">
        <f t="shared" si="18"/>
        <v>PS1_B03_1_R</v>
      </c>
    </row>
    <row r="255" spans="1:13" x14ac:dyDescent="0.25">
      <c r="A255" t="s">
        <v>262</v>
      </c>
      <c r="B255" t="s">
        <v>764</v>
      </c>
      <c r="C255" t="s">
        <v>761</v>
      </c>
      <c r="D255">
        <v>2</v>
      </c>
      <c r="E255" t="s">
        <v>751</v>
      </c>
      <c r="F255" t="s">
        <v>779</v>
      </c>
      <c r="G255" t="str">
        <f t="shared" si="19"/>
        <v>B</v>
      </c>
      <c r="H255">
        <f>_xlfn.XLOOKUP(Table2[[#This Row],[Zone]],Table1[Row],Table1[Max Bay],_xleta.NA,0)</f>
        <v>12</v>
      </c>
      <c r="I255" s="1" t="str">
        <f t="shared" si="15"/>
        <v>03</v>
      </c>
      <c r="J255">
        <f t="shared" si="16"/>
        <v>2</v>
      </c>
      <c r="K255" t="str">
        <f>_xlfn.XLOOKUP(Table2[[#This Row],[Row]],Table1[Row],Table1[StartSide],0)</f>
        <v>L</v>
      </c>
      <c r="L255" t="str">
        <f t="shared" si="17"/>
        <v>L</v>
      </c>
      <c r="M255" t="str">
        <f t="shared" si="18"/>
        <v>PS1_B03_2_L</v>
      </c>
    </row>
    <row r="256" spans="1:13" x14ac:dyDescent="0.25">
      <c r="A256" t="s">
        <v>263</v>
      </c>
      <c r="B256" t="s">
        <v>764</v>
      </c>
      <c r="C256" t="s">
        <v>761</v>
      </c>
      <c r="D256">
        <v>2</v>
      </c>
      <c r="E256" t="s">
        <v>752</v>
      </c>
      <c r="F256" t="s">
        <v>779</v>
      </c>
      <c r="G256" t="str">
        <f t="shared" si="19"/>
        <v>B</v>
      </c>
      <c r="H256">
        <f>_xlfn.XLOOKUP(Table2[[#This Row],[Zone]],Table1[Row],Table1[Max Bay],_xleta.NA,0)</f>
        <v>12</v>
      </c>
      <c r="I256" s="1" t="str">
        <f t="shared" si="15"/>
        <v>03</v>
      </c>
      <c r="J256">
        <f t="shared" si="16"/>
        <v>2</v>
      </c>
      <c r="K256" t="str">
        <f>_xlfn.XLOOKUP(Table2[[#This Row],[Row]],Table1[Row],Table1[StartSide],0)</f>
        <v>L</v>
      </c>
      <c r="L256" t="str">
        <f t="shared" si="17"/>
        <v>R</v>
      </c>
      <c r="M256" t="str">
        <f t="shared" si="18"/>
        <v>PS1_B03_2_R</v>
      </c>
    </row>
    <row r="257" spans="1:13" x14ac:dyDescent="0.25">
      <c r="A257" t="s">
        <v>264</v>
      </c>
      <c r="B257" t="s">
        <v>764</v>
      </c>
      <c r="C257" t="s">
        <v>761</v>
      </c>
      <c r="D257">
        <v>3</v>
      </c>
      <c r="E257" t="s">
        <v>751</v>
      </c>
      <c r="F257" t="s">
        <v>779</v>
      </c>
      <c r="G257" t="str">
        <f t="shared" si="19"/>
        <v>B</v>
      </c>
      <c r="H257">
        <f>_xlfn.XLOOKUP(Table2[[#This Row],[Zone]],Table1[Row],Table1[Max Bay],_xleta.NA,0)</f>
        <v>12</v>
      </c>
      <c r="I257" s="1" t="str">
        <f t="shared" si="15"/>
        <v>03</v>
      </c>
      <c r="J257">
        <f t="shared" si="16"/>
        <v>3</v>
      </c>
      <c r="K257" t="str">
        <f>_xlfn.XLOOKUP(Table2[[#This Row],[Row]],Table1[Row],Table1[StartSide],0)</f>
        <v>L</v>
      </c>
      <c r="L257" t="str">
        <f t="shared" si="17"/>
        <v>L</v>
      </c>
      <c r="M257" t="str">
        <f t="shared" si="18"/>
        <v>PS1_B03_3_L</v>
      </c>
    </row>
    <row r="258" spans="1:13" x14ac:dyDescent="0.25">
      <c r="A258" t="s">
        <v>265</v>
      </c>
      <c r="B258" t="s">
        <v>764</v>
      </c>
      <c r="C258" t="s">
        <v>761</v>
      </c>
      <c r="D258">
        <v>3</v>
      </c>
      <c r="E258" t="s">
        <v>752</v>
      </c>
      <c r="F258" t="s">
        <v>779</v>
      </c>
      <c r="G258" t="str">
        <f t="shared" si="19"/>
        <v>B</v>
      </c>
      <c r="H258">
        <f>_xlfn.XLOOKUP(Table2[[#This Row],[Zone]],Table1[Row],Table1[Max Bay],_xleta.NA,0)</f>
        <v>12</v>
      </c>
      <c r="I258" s="1" t="str">
        <f t="shared" ref="I258:I321" si="20">TEXT(H258-INT(C258)+1,"00")</f>
        <v>03</v>
      </c>
      <c r="J258">
        <f t="shared" ref="J258:J321" si="21">D258</f>
        <v>3</v>
      </c>
      <c r="K258" t="str">
        <f>_xlfn.XLOOKUP(Table2[[#This Row],[Row]],Table1[Row],Table1[StartSide],0)</f>
        <v>L</v>
      </c>
      <c r="L258" t="str">
        <f t="shared" ref="L258:L321" si="22">E258</f>
        <v>R</v>
      </c>
      <c r="M258" t="str">
        <f t="shared" ref="M258:M321" si="23">_xlfn.CONCAT(F258,"_",G258,I258,"_",J258,"_",L258)</f>
        <v>PS1_B03_3_R</v>
      </c>
    </row>
    <row r="259" spans="1:13" x14ac:dyDescent="0.25">
      <c r="A259" t="s">
        <v>266</v>
      </c>
      <c r="B259" t="s">
        <v>764</v>
      </c>
      <c r="C259" t="s">
        <v>761</v>
      </c>
      <c r="D259">
        <v>4</v>
      </c>
      <c r="E259" t="s">
        <v>751</v>
      </c>
      <c r="F259" t="s">
        <v>779</v>
      </c>
      <c r="G259" t="str">
        <f t="shared" ref="G259:G322" si="24">B259</f>
        <v>B</v>
      </c>
      <c r="H259">
        <f>_xlfn.XLOOKUP(Table2[[#This Row],[Zone]],Table1[Row],Table1[Max Bay],_xleta.NA,0)</f>
        <v>12</v>
      </c>
      <c r="I259" s="1" t="str">
        <f t="shared" si="20"/>
        <v>03</v>
      </c>
      <c r="J259">
        <f t="shared" si="21"/>
        <v>4</v>
      </c>
      <c r="K259" t="str">
        <f>_xlfn.XLOOKUP(Table2[[#This Row],[Row]],Table1[Row],Table1[StartSide],0)</f>
        <v>L</v>
      </c>
      <c r="L259" t="str">
        <f t="shared" si="22"/>
        <v>L</v>
      </c>
      <c r="M259" t="str">
        <f t="shared" si="23"/>
        <v>PS1_B03_4_L</v>
      </c>
    </row>
    <row r="260" spans="1:13" x14ac:dyDescent="0.25">
      <c r="A260" t="s">
        <v>267</v>
      </c>
      <c r="B260" t="s">
        <v>764</v>
      </c>
      <c r="C260" t="s">
        <v>761</v>
      </c>
      <c r="D260">
        <v>4</v>
      </c>
      <c r="E260" t="s">
        <v>752</v>
      </c>
      <c r="F260" t="s">
        <v>779</v>
      </c>
      <c r="G260" t="str">
        <f t="shared" si="24"/>
        <v>B</v>
      </c>
      <c r="H260">
        <f>_xlfn.XLOOKUP(Table2[[#This Row],[Zone]],Table1[Row],Table1[Max Bay],_xleta.NA,0)</f>
        <v>12</v>
      </c>
      <c r="I260" s="1" t="str">
        <f t="shared" si="20"/>
        <v>03</v>
      </c>
      <c r="J260">
        <f t="shared" si="21"/>
        <v>4</v>
      </c>
      <c r="K260" t="str">
        <f>_xlfn.XLOOKUP(Table2[[#This Row],[Row]],Table1[Row],Table1[StartSide],0)</f>
        <v>L</v>
      </c>
      <c r="L260" t="str">
        <f t="shared" si="22"/>
        <v>R</v>
      </c>
      <c r="M260" t="str">
        <f t="shared" si="23"/>
        <v>PS1_B03_4_R</v>
      </c>
    </row>
    <row r="261" spans="1:13" x14ac:dyDescent="0.25">
      <c r="A261" t="s">
        <v>268</v>
      </c>
      <c r="B261" t="s">
        <v>764</v>
      </c>
      <c r="C261" t="s">
        <v>761</v>
      </c>
      <c r="D261">
        <v>5</v>
      </c>
      <c r="E261" t="s">
        <v>751</v>
      </c>
      <c r="F261" t="s">
        <v>779</v>
      </c>
      <c r="G261" t="str">
        <f t="shared" si="24"/>
        <v>B</v>
      </c>
      <c r="H261">
        <f>_xlfn.XLOOKUP(Table2[[#This Row],[Zone]],Table1[Row],Table1[Max Bay],_xleta.NA,0)</f>
        <v>12</v>
      </c>
      <c r="I261" s="1" t="str">
        <f t="shared" si="20"/>
        <v>03</v>
      </c>
      <c r="J261">
        <f t="shared" si="21"/>
        <v>5</v>
      </c>
      <c r="K261" t="str">
        <f>_xlfn.XLOOKUP(Table2[[#This Row],[Row]],Table1[Row],Table1[StartSide],0)</f>
        <v>L</v>
      </c>
      <c r="L261" t="str">
        <f t="shared" si="22"/>
        <v>L</v>
      </c>
      <c r="M261" t="str">
        <f t="shared" si="23"/>
        <v>PS1_B03_5_L</v>
      </c>
    </row>
    <row r="262" spans="1:13" x14ac:dyDescent="0.25">
      <c r="A262" t="s">
        <v>269</v>
      </c>
      <c r="B262" t="s">
        <v>764</v>
      </c>
      <c r="C262" t="s">
        <v>761</v>
      </c>
      <c r="D262">
        <v>5</v>
      </c>
      <c r="E262" t="s">
        <v>752</v>
      </c>
      <c r="F262" t="s">
        <v>779</v>
      </c>
      <c r="G262" t="str">
        <f t="shared" si="24"/>
        <v>B</v>
      </c>
      <c r="H262">
        <f>_xlfn.XLOOKUP(Table2[[#This Row],[Zone]],Table1[Row],Table1[Max Bay],_xleta.NA,0)</f>
        <v>12</v>
      </c>
      <c r="I262" s="1" t="str">
        <f t="shared" si="20"/>
        <v>03</v>
      </c>
      <c r="J262">
        <f t="shared" si="21"/>
        <v>5</v>
      </c>
      <c r="K262" t="str">
        <f>_xlfn.XLOOKUP(Table2[[#This Row],[Row]],Table1[Row],Table1[StartSide],0)</f>
        <v>L</v>
      </c>
      <c r="L262" t="str">
        <f t="shared" si="22"/>
        <v>R</v>
      </c>
      <c r="M262" t="str">
        <f t="shared" si="23"/>
        <v>PS1_B03_5_R</v>
      </c>
    </row>
    <row r="263" spans="1:13" x14ac:dyDescent="0.25">
      <c r="A263" t="s">
        <v>270</v>
      </c>
      <c r="B263" t="s">
        <v>764</v>
      </c>
      <c r="C263" t="s">
        <v>761</v>
      </c>
      <c r="D263">
        <v>6</v>
      </c>
      <c r="E263" t="s">
        <v>751</v>
      </c>
      <c r="F263" t="s">
        <v>779</v>
      </c>
      <c r="G263" t="str">
        <f t="shared" si="24"/>
        <v>B</v>
      </c>
      <c r="H263">
        <f>_xlfn.XLOOKUP(Table2[[#This Row],[Zone]],Table1[Row],Table1[Max Bay],_xleta.NA,0)</f>
        <v>12</v>
      </c>
      <c r="I263" s="1" t="str">
        <f t="shared" si="20"/>
        <v>03</v>
      </c>
      <c r="J263">
        <f t="shared" si="21"/>
        <v>6</v>
      </c>
      <c r="K263" t="str">
        <f>_xlfn.XLOOKUP(Table2[[#This Row],[Row]],Table1[Row],Table1[StartSide],0)</f>
        <v>L</v>
      </c>
      <c r="L263" t="str">
        <f t="shared" si="22"/>
        <v>L</v>
      </c>
      <c r="M263" t="str">
        <f t="shared" si="23"/>
        <v>PS1_B03_6_L</v>
      </c>
    </row>
    <row r="264" spans="1:13" x14ac:dyDescent="0.25">
      <c r="A264" t="s">
        <v>271</v>
      </c>
      <c r="B264" t="s">
        <v>764</v>
      </c>
      <c r="C264" t="s">
        <v>761</v>
      </c>
      <c r="D264">
        <v>6</v>
      </c>
      <c r="E264" t="s">
        <v>752</v>
      </c>
      <c r="F264" t="s">
        <v>779</v>
      </c>
      <c r="G264" t="str">
        <f t="shared" si="24"/>
        <v>B</v>
      </c>
      <c r="H264">
        <f>_xlfn.XLOOKUP(Table2[[#This Row],[Zone]],Table1[Row],Table1[Max Bay],_xleta.NA,0)</f>
        <v>12</v>
      </c>
      <c r="I264" s="1" t="str">
        <f t="shared" si="20"/>
        <v>03</v>
      </c>
      <c r="J264">
        <f t="shared" si="21"/>
        <v>6</v>
      </c>
      <c r="K264" t="str">
        <f>_xlfn.XLOOKUP(Table2[[#This Row],[Row]],Table1[Row],Table1[StartSide],0)</f>
        <v>L</v>
      </c>
      <c r="L264" t="str">
        <f t="shared" si="22"/>
        <v>R</v>
      </c>
      <c r="M264" t="str">
        <f t="shared" si="23"/>
        <v>PS1_B03_6_R</v>
      </c>
    </row>
    <row r="265" spans="1:13" x14ac:dyDescent="0.25">
      <c r="A265" t="s">
        <v>272</v>
      </c>
      <c r="B265" t="s">
        <v>764</v>
      </c>
      <c r="C265" t="s">
        <v>762</v>
      </c>
      <c r="D265">
        <v>1</v>
      </c>
      <c r="E265" t="s">
        <v>751</v>
      </c>
      <c r="F265" t="s">
        <v>779</v>
      </c>
      <c r="G265" t="str">
        <f t="shared" si="24"/>
        <v>B</v>
      </c>
      <c r="H265">
        <f>_xlfn.XLOOKUP(Table2[[#This Row],[Zone]],Table1[Row],Table1[Max Bay],_xleta.NA,0)</f>
        <v>12</v>
      </c>
      <c r="I265" s="1" t="str">
        <f t="shared" si="20"/>
        <v>02</v>
      </c>
      <c r="J265">
        <f t="shared" si="21"/>
        <v>1</v>
      </c>
      <c r="K265" t="str">
        <f>_xlfn.XLOOKUP(Table2[[#This Row],[Row]],Table1[Row],Table1[StartSide],0)</f>
        <v>L</v>
      </c>
      <c r="L265" t="str">
        <f t="shared" si="22"/>
        <v>L</v>
      </c>
      <c r="M265" t="str">
        <f t="shared" si="23"/>
        <v>PS1_B02_1_L</v>
      </c>
    </row>
    <row r="266" spans="1:13" x14ac:dyDescent="0.25">
      <c r="A266" t="s">
        <v>273</v>
      </c>
      <c r="B266" t="s">
        <v>764</v>
      </c>
      <c r="C266" t="s">
        <v>762</v>
      </c>
      <c r="D266">
        <v>1</v>
      </c>
      <c r="E266" t="s">
        <v>752</v>
      </c>
      <c r="F266" t="s">
        <v>779</v>
      </c>
      <c r="G266" t="str">
        <f t="shared" si="24"/>
        <v>B</v>
      </c>
      <c r="H266">
        <f>_xlfn.XLOOKUP(Table2[[#This Row],[Zone]],Table1[Row],Table1[Max Bay],_xleta.NA,0)</f>
        <v>12</v>
      </c>
      <c r="I266" s="1" t="str">
        <f t="shared" si="20"/>
        <v>02</v>
      </c>
      <c r="J266">
        <f t="shared" si="21"/>
        <v>1</v>
      </c>
      <c r="K266" t="str">
        <f>_xlfn.XLOOKUP(Table2[[#This Row],[Row]],Table1[Row],Table1[StartSide],0)</f>
        <v>L</v>
      </c>
      <c r="L266" t="str">
        <f t="shared" si="22"/>
        <v>R</v>
      </c>
      <c r="M266" t="str">
        <f t="shared" si="23"/>
        <v>PS1_B02_1_R</v>
      </c>
    </row>
    <row r="267" spans="1:13" x14ac:dyDescent="0.25">
      <c r="A267" t="s">
        <v>274</v>
      </c>
      <c r="B267" t="s">
        <v>764</v>
      </c>
      <c r="C267" t="s">
        <v>762</v>
      </c>
      <c r="D267">
        <v>2</v>
      </c>
      <c r="E267" t="s">
        <v>751</v>
      </c>
      <c r="F267" t="s">
        <v>779</v>
      </c>
      <c r="G267" t="str">
        <f t="shared" si="24"/>
        <v>B</v>
      </c>
      <c r="H267">
        <f>_xlfn.XLOOKUP(Table2[[#This Row],[Zone]],Table1[Row],Table1[Max Bay],_xleta.NA,0)</f>
        <v>12</v>
      </c>
      <c r="I267" s="1" t="str">
        <f t="shared" si="20"/>
        <v>02</v>
      </c>
      <c r="J267">
        <f t="shared" si="21"/>
        <v>2</v>
      </c>
      <c r="K267" t="str">
        <f>_xlfn.XLOOKUP(Table2[[#This Row],[Row]],Table1[Row],Table1[StartSide],0)</f>
        <v>L</v>
      </c>
      <c r="L267" t="str">
        <f t="shared" si="22"/>
        <v>L</v>
      </c>
      <c r="M267" t="str">
        <f t="shared" si="23"/>
        <v>PS1_B02_2_L</v>
      </c>
    </row>
    <row r="268" spans="1:13" x14ac:dyDescent="0.25">
      <c r="A268" t="s">
        <v>275</v>
      </c>
      <c r="B268" t="s">
        <v>764</v>
      </c>
      <c r="C268" t="s">
        <v>762</v>
      </c>
      <c r="D268">
        <v>2</v>
      </c>
      <c r="E268" t="s">
        <v>752</v>
      </c>
      <c r="F268" t="s">
        <v>779</v>
      </c>
      <c r="G268" t="str">
        <f t="shared" si="24"/>
        <v>B</v>
      </c>
      <c r="H268">
        <f>_xlfn.XLOOKUP(Table2[[#This Row],[Zone]],Table1[Row],Table1[Max Bay],_xleta.NA,0)</f>
        <v>12</v>
      </c>
      <c r="I268" s="1" t="str">
        <f t="shared" si="20"/>
        <v>02</v>
      </c>
      <c r="J268">
        <f t="shared" si="21"/>
        <v>2</v>
      </c>
      <c r="K268" t="str">
        <f>_xlfn.XLOOKUP(Table2[[#This Row],[Row]],Table1[Row],Table1[StartSide],0)</f>
        <v>L</v>
      </c>
      <c r="L268" t="str">
        <f t="shared" si="22"/>
        <v>R</v>
      </c>
      <c r="M268" t="str">
        <f t="shared" si="23"/>
        <v>PS1_B02_2_R</v>
      </c>
    </row>
    <row r="269" spans="1:13" x14ac:dyDescent="0.25">
      <c r="A269" t="s">
        <v>276</v>
      </c>
      <c r="B269" t="s">
        <v>764</v>
      </c>
      <c r="C269" t="s">
        <v>762</v>
      </c>
      <c r="D269">
        <v>3</v>
      </c>
      <c r="E269" t="s">
        <v>751</v>
      </c>
      <c r="F269" t="s">
        <v>779</v>
      </c>
      <c r="G269" t="str">
        <f t="shared" si="24"/>
        <v>B</v>
      </c>
      <c r="H269">
        <f>_xlfn.XLOOKUP(Table2[[#This Row],[Zone]],Table1[Row],Table1[Max Bay],_xleta.NA,0)</f>
        <v>12</v>
      </c>
      <c r="I269" s="1" t="str">
        <f t="shared" si="20"/>
        <v>02</v>
      </c>
      <c r="J269">
        <f t="shared" si="21"/>
        <v>3</v>
      </c>
      <c r="K269" t="str">
        <f>_xlfn.XLOOKUP(Table2[[#This Row],[Row]],Table1[Row],Table1[StartSide],0)</f>
        <v>L</v>
      </c>
      <c r="L269" t="str">
        <f t="shared" si="22"/>
        <v>L</v>
      </c>
      <c r="M269" t="str">
        <f t="shared" si="23"/>
        <v>PS1_B02_3_L</v>
      </c>
    </row>
    <row r="270" spans="1:13" x14ac:dyDescent="0.25">
      <c r="A270" t="s">
        <v>277</v>
      </c>
      <c r="B270" t="s">
        <v>764</v>
      </c>
      <c r="C270" t="s">
        <v>762</v>
      </c>
      <c r="D270">
        <v>3</v>
      </c>
      <c r="E270" t="s">
        <v>752</v>
      </c>
      <c r="F270" t="s">
        <v>779</v>
      </c>
      <c r="G270" t="str">
        <f t="shared" si="24"/>
        <v>B</v>
      </c>
      <c r="H270">
        <f>_xlfn.XLOOKUP(Table2[[#This Row],[Zone]],Table1[Row],Table1[Max Bay],_xleta.NA,0)</f>
        <v>12</v>
      </c>
      <c r="I270" s="1" t="str">
        <f t="shared" si="20"/>
        <v>02</v>
      </c>
      <c r="J270">
        <f t="shared" si="21"/>
        <v>3</v>
      </c>
      <c r="K270" t="str">
        <f>_xlfn.XLOOKUP(Table2[[#This Row],[Row]],Table1[Row],Table1[StartSide],0)</f>
        <v>L</v>
      </c>
      <c r="L270" t="str">
        <f t="shared" si="22"/>
        <v>R</v>
      </c>
      <c r="M270" t="str">
        <f t="shared" si="23"/>
        <v>PS1_B02_3_R</v>
      </c>
    </row>
    <row r="271" spans="1:13" x14ac:dyDescent="0.25">
      <c r="A271" t="s">
        <v>278</v>
      </c>
      <c r="B271" t="s">
        <v>764</v>
      </c>
      <c r="C271" t="s">
        <v>762</v>
      </c>
      <c r="D271">
        <v>4</v>
      </c>
      <c r="E271" t="s">
        <v>751</v>
      </c>
      <c r="F271" t="s">
        <v>779</v>
      </c>
      <c r="G271" t="str">
        <f t="shared" si="24"/>
        <v>B</v>
      </c>
      <c r="H271">
        <f>_xlfn.XLOOKUP(Table2[[#This Row],[Zone]],Table1[Row],Table1[Max Bay],_xleta.NA,0)</f>
        <v>12</v>
      </c>
      <c r="I271" s="1" t="str">
        <f t="shared" si="20"/>
        <v>02</v>
      </c>
      <c r="J271">
        <f t="shared" si="21"/>
        <v>4</v>
      </c>
      <c r="K271" t="str">
        <f>_xlfn.XLOOKUP(Table2[[#This Row],[Row]],Table1[Row],Table1[StartSide],0)</f>
        <v>L</v>
      </c>
      <c r="L271" t="str">
        <f t="shared" si="22"/>
        <v>L</v>
      </c>
      <c r="M271" t="str">
        <f t="shared" si="23"/>
        <v>PS1_B02_4_L</v>
      </c>
    </row>
    <row r="272" spans="1:13" x14ac:dyDescent="0.25">
      <c r="A272" t="s">
        <v>279</v>
      </c>
      <c r="B272" t="s">
        <v>764</v>
      </c>
      <c r="C272" t="s">
        <v>762</v>
      </c>
      <c r="D272">
        <v>4</v>
      </c>
      <c r="E272" t="s">
        <v>752</v>
      </c>
      <c r="F272" t="s">
        <v>779</v>
      </c>
      <c r="G272" t="str">
        <f t="shared" si="24"/>
        <v>B</v>
      </c>
      <c r="H272">
        <f>_xlfn.XLOOKUP(Table2[[#This Row],[Zone]],Table1[Row],Table1[Max Bay],_xleta.NA,0)</f>
        <v>12</v>
      </c>
      <c r="I272" s="1" t="str">
        <f t="shared" si="20"/>
        <v>02</v>
      </c>
      <c r="J272">
        <f t="shared" si="21"/>
        <v>4</v>
      </c>
      <c r="K272" t="str">
        <f>_xlfn.XLOOKUP(Table2[[#This Row],[Row]],Table1[Row],Table1[StartSide],0)</f>
        <v>L</v>
      </c>
      <c r="L272" t="str">
        <f t="shared" si="22"/>
        <v>R</v>
      </c>
      <c r="M272" t="str">
        <f t="shared" si="23"/>
        <v>PS1_B02_4_R</v>
      </c>
    </row>
    <row r="273" spans="1:13" x14ac:dyDescent="0.25">
      <c r="A273" t="s">
        <v>280</v>
      </c>
      <c r="B273" t="s">
        <v>764</v>
      </c>
      <c r="C273" t="s">
        <v>762</v>
      </c>
      <c r="D273">
        <v>5</v>
      </c>
      <c r="E273" t="s">
        <v>751</v>
      </c>
      <c r="F273" t="s">
        <v>779</v>
      </c>
      <c r="G273" t="str">
        <f t="shared" si="24"/>
        <v>B</v>
      </c>
      <c r="H273">
        <f>_xlfn.XLOOKUP(Table2[[#This Row],[Zone]],Table1[Row],Table1[Max Bay],_xleta.NA,0)</f>
        <v>12</v>
      </c>
      <c r="I273" s="1" t="str">
        <f t="shared" si="20"/>
        <v>02</v>
      </c>
      <c r="J273">
        <f t="shared" si="21"/>
        <v>5</v>
      </c>
      <c r="K273" t="str">
        <f>_xlfn.XLOOKUP(Table2[[#This Row],[Row]],Table1[Row],Table1[StartSide],0)</f>
        <v>L</v>
      </c>
      <c r="L273" t="str">
        <f t="shared" si="22"/>
        <v>L</v>
      </c>
      <c r="M273" t="str">
        <f t="shared" si="23"/>
        <v>PS1_B02_5_L</v>
      </c>
    </row>
    <row r="274" spans="1:13" x14ac:dyDescent="0.25">
      <c r="A274" t="s">
        <v>281</v>
      </c>
      <c r="B274" t="s">
        <v>764</v>
      </c>
      <c r="C274" t="s">
        <v>762</v>
      </c>
      <c r="D274">
        <v>5</v>
      </c>
      <c r="E274" t="s">
        <v>752</v>
      </c>
      <c r="F274" t="s">
        <v>779</v>
      </c>
      <c r="G274" t="str">
        <f t="shared" si="24"/>
        <v>B</v>
      </c>
      <c r="H274">
        <f>_xlfn.XLOOKUP(Table2[[#This Row],[Zone]],Table1[Row],Table1[Max Bay],_xleta.NA,0)</f>
        <v>12</v>
      </c>
      <c r="I274" s="1" t="str">
        <f t="shared" si="20"/>
        <v>02</v>
      </c>
      <c r="J274">
        <f t="shared" si="21"/>
        <v>5</v>
      </c>
      <c r="K274" t="str">
        <f>_xlfn.XLOOKUP(Table2[[#This Row],[Row]],Table1[Row],Table1[StartSide],0)</f>
        <v>L</v>
      </c>
      <c r="L274" t="str">
        <f t="shared" si="22"/>
        <v>R</v>
      </c>
      <c r="M274" t="str">
        <f t="shared" si="23"/>
        <v>PS1_B02_5_R</v>
      </c>
    </row>
    <row r="275" spans="1:13" x14ac:dyDescent="0.25">
      <c r="A275" t="s">
        <v>282</v>
      </c>
      <c r="B275" t="s">
        <v>764</v>
      </c>
      <c r="C275" t="s">
        <v>762</v>
      </c>
      <c r="D275">
        <v>6</v>
      </c>
      <c r="E275" t="s">
        <v>751</v>
      </c>
      <c r="F275" t="s">
        <v>779</v>
      </c>
      <c r="G275" t="str">
        <f t="shared" si="24"/>
        <v>B</v>
      </c>
      <c r="H275">
        <f>_xlfn.XLOOKUP(Table2[[#This Row],[Zone]],Table1[Row],Table1[Max Bay],_xleta.NA,0)</f>
        <v>12</v>
      </c>
      <c r="I275" s="1" t="str">
        <f t="shared" si="20"/>
        <v>02</v>
      </c>
      <c r="J275">
        <f t="shared" si="21"/>
        <v>6</v>
      </c>
      <c r="K275" t="str">
        <f>_xlfn.XLOOKUP(Table2[[#This Row],[Row]],Table1[Row],Table1[StartSide],0)</f>
        <v>L</v>
      </c>
      <c r="L275" t="str">
        <f t="shared" si="22"/>
        <v>L</v>
      </c>
      <c r="M275" t="str">
        <f t="shared" si="23"/>
        <v>PS1_B02_6_L</v>
      </c>
    </row>
    <row r="276" spans="1:13" x14ac:dyDescent="0.25">
      <c r="A276" t="s">
        <v>283</v>
      </c>
      <c r="B276" t="s">
        <v>764</v>
      </c>
      <c r="C276" t="s">
        <v>762</v>
      </c>
      <c r="D276">
        <v>6</v>
      </c>
      <c r="E276" t="s">
        <v>752</v>
      </c>
      <c r="F276" t="s">
        <v>779</v>
      </c>
      <c r="G276" t="str">
        <f t="shared" si="24"/>
        <v>B</v>
      </c>
      <c r="H276">
        <f>_xlfn.XLOOKUP(Table2[[#This Row],[Zone]],Table1[Row],Table1[Max Bay],_xleta.NA,0)</f>
        <v>12</v>
      </c>
      <c r="I276" s="1" t="str">
        <f t="shared" si="20"/>
        <v>02</v>
      </c>
      <c r="J276">
        <f t="shared" si="21"/>
        <v>6</v>
      </c>
      <c r="K276" t="str">
        <f>_xlfn.XLOOKUP(Table2[[#This Row],[Row]],Table1[Row],Table1[StartSide],0)</f>
        <v>L</v>
      </c>
      <c r="L276" t="str">
        <f t="shared" si="22"/>
        <v>R</v>
      </c>
      <c r="M276" t="str">
        <f t="shared" si="23"/>
        <v>PS1_B02_6_R</v>
      </c>
    </row>
    <row r="277" spans="1:13" x14ac:dyDescent="0.25">
      <c r="A277" t="s">
        <v>284</v>
      </c>
      <c r="B277" t="s">
        <v>764</v>
      </c>
      <c r="C277" t="s">
        <v>763</v>
      </c>
      <c r="D277">
        <v>1</v>
      </c>
      <c r="E277" t="s">
        <v>751</v>
      </c>
      <c r="F277" t="s">
        <v>779</v>
      </c>
      <c r="G277" t="str">
        <f t="shared" si="24"/>
        <v>B</v>
      </c>
      <c r="H277">
        <f>_xlfn.XLOOKUP(Table2[[#This Row],[Zone]],Table1[Row],Table1[Max Bay],_xleta.NA,0)</f>
        <v>12</v>
      </c>
      <c r="I277" s="1" t="str">
        <f t="shared" si="20"/>
        <v>01</v>
      </c>
      <c r="J277">
        <f t="shared" si="21"/>
        <v>1</v>
      </c>
      <c r="K277" t="str">
        <f>_xlfn.XLOOKUP(Table2[[#This Row],[Row]],Table1[Row],Table1[StartSide],0)</f>
        <v>L</v>
      </c>
      <c r="L277" t="str">
        <f t="shared" si="22"/>
        <v>L</v>
      </c>
      <c r="M277" t="str">
        <f t="shared" si="23"/>
        <v>PS1_B01_1_L</v>
      </c>
    </row>
    <row r="278" spans="1:13" x14ac:dyDescent="0.25">
      <c r="A278" t="s">
        <v>285</v>
      </c>
      <c r="B278" t="s">
        <v>764</v>
      </c>
      <c r="C278" t="s">
        <v>763</v>
      </c>
      <c r="D278">
        <v>1</v>
      </c>
      <c r="E278" t="s">
        <v>752</v>
      </c>
      <c r="F278" t="s">
        <v>779</v>
      </c>
      <c r="G278" t="str">
        <f t="shared" si="24"/>
        <v>B</v>
      </c>
      <c r="H278">
        <f>_xlfn.XLOOKUP(Table2[[#This Row],[Zone]],Table1[Row],Table1[Max Bay],_xleta.NA,0)</f>
        <v>12</v>
      </c>
      <c r="I278" s="1" t="str">
        <f t="shared" si="20"/>
        <v>01</v>
      </c>
      <c r="J278">
        <f t="shared" si="21"/>
        <v>1</v>
      </c>
      <c r="K278" t="str">
        <f>_xlfn.XLOOKUP(Table2[[#This Row],[Row]],Table1[Row],Table1[StartSide],0)</f>
        <v>L</v>
      </c>
      <c r="L278" t="str">
        <f t="shared" si="22"/>
        <v>R</v>
      </c>
      <c r="M278" t="str">
        <f t="shared" si="23"/>
        <v>PS1_B01_1_R</v>
      </c>
    </row>
    <row r="279" spans="1:13" x14ac:dyDescent="0.25">
      <c r="A279" t="s">
        <v>286</v>
      </c>
      <c r="B279" t="s">
        <v>764</v>
      </c>
      <c r="C279" t="s">
        <v>763</v>
      </c>
      <c r="D279">
        <v>2</v>
      </c>
      <c r="E279" t="s">
        <v>751</v>
      </c>
      <c r="F279" t="s">
        <v>779</v>
      </c>
      <c r="G279" t="str">
        <f t="shared" si="24"/>
        <v>B</v>
      </c>
      <c r="H279">
        <f>_xlfn.XLOOKUP(Table2[[#This Row],[Zone]],Table1[Row],Table1[Max Bay],_xleta.NA,0)</f>
        <v>12</v>
      </c>
      <c r="I279" s="1" t="str">
        <f t="shared" si="20"/>
        <v>01</v>
      </c>
      <c r="J279">
        <f t="shared" si="21"/>
        <v>2</v>
      </c>
      <c r="K279" t="str">
        <f>_xlfn.XLOOKUP(Table2[[#This Row],[Row]],Table1[Row],Table1[StartSide],0)</f>
        <v>L</v>
      </c>
      <c r="L279" t="str">
        <f t="shared" si="22"/>
        <v>L</v>
      </c>
      <c r="M279" t="str">
        <f t="shared" si="23"/>
        <v>PS1_B01_2_L</v>
      </c>
    </row>
    <row r="280" spans="1:13" x14ac:dyDescent="0.25">
      <c r="A280" t="s">
        <v>287</v>
      </c>
      <c r="B280" t="s">
        <v>764</v>
      </c>
      <c r="C280" t="s">
        <v>763</v>
      </c>
      <c r="D280">
        <v>2</v>
      </c>
      <c r="E280" t="s">
        <v>752</v>
      </c>
      <c r="F280" t="s">
        <v>779</v>
      </c>
      <c r="G280" t="str">
        <f t="shared" si="24"/>
        <v>B</v>
      </c>
      <c r="H280">
        <f>_xlfn.XLOOKUP(Table2[[#This Row],[Zone]],Table1[Row],Table1[Max Bay],_xleta.NA,0)</f>
        <v>12</v>
      </c>
      <c r="I280" s="1" t="str">
        <f t="shared" si="20"/>
        <v>01</v>
      </c>
      <c r="J280">
        <f t="shared" si="21"/>
        <v>2</v>
      </c>
      <c r="K280" t="str">
        <f>_xlfn.XLOOKUP(Table2[[#This Row],[Row]],Table1[Row],Table1[StartSide],0)</f>
        <v>L</v>
      </c>
      <c r="L280" t="str">
        <f t="shared" si="22"/>
        <v>R</v>
      </c>
      <c r="M280" t="str">
        <f t="shared" si="23"/>
        <v>PS1_B01_2_R</v>
      </c>
    </row>
    <row r="281" spans="1:13" x14ac:dyDescent="0.25">
      <c r="A281" t="s">
        <v>288</v>
      </c>
      <c r="B281" t="s">
        <v>764</v>
      </c>
      <c r="C281" t="s">
        <v>763</v>
      </c>
      <c r="D281">
        <v>3</v>
      </c>
      <c r="E281" t="s">
        <v>751</v>
      </c>
      <c r="F281" t="s">
        <v>779</v>
      </c>
      <c r="G281" t="str">
        <f t="shared" si="24"/>
        <v>B</v>
      </c>
      <c r="H281">
        <f>_xlfn.XLOOKUP(Table2[[#This Row],[Zone]],Table1[Row],Table1[Max Bay],_xleta.NA,0)</f>
        <v>12</v>
      </c>
      <c r="I281" s="1" t="str">
        <f t="shared" si="20"/>
        <v>01</v>
      </c>
      <c r="J281">
        <f t="shared" si="21"/>
        <v>3</v>
      </c>
      <c r="K281" t="str">
        <f>_xlfn.XLOOKUP(Table2[[#This Row],[Row]],Table1[Row],Table1[StartSide],0)</f>
        <v>L</v>
      </c>
      <c r="L281" t="str">
        <f t="shared" si="22"/>
        <v>L</v>
      </c>
      <c r="M281" t="str">
        <f t="shared" si="23"/>
        <v>PS1_B01_3_L</v>
      </c>
    </row>
    <row r="282" spans="1:13" x14ac:dyDescent="0.25">
      <c r="A282" t="s">
        <v>289</v>
      </c>
      <c r="B282" t="s">
        <v>764</v>
      </c>
      <c r="C282" t="s">
        <v>763</v>
      </c>
      <c r="D282">
        <v>3</v>
      </c>
      <c r="E282" t="s">
        <v>752</v>
      </c>
      <c r="F282" t="s">
        <v>779</v>
      </c>
      <c r="G282" t="str">
        <f t="shared" si="24"/>
        <v>B</v>
      </c>
      <c r="H282">
        <f>_xlfn.XLOOKUP(Table2[[#This Row],[Zone]],Table1[Row],Table1[Max Bay],_xleta.NA,0)</f>
        <v>12</v>
      </c>
      <c r="I282" s="1" t="str">
        <f t="shared" si="20"/>
        <v>01</v>
      </c>
      <c r="J282">
        <f t="shared" si="21"/>
        <v>3</v>
      </c>
      <c r="K282" t="str">
        <f>_xlfn.XLOOKUP(Table2[[#This Row],[Row]],Table1[Row],Table1[StartSide],0)</f>
        <v>L</v>
      </c>
      <c r="L282" t="str">
        <f t="shared" si="22"/>
        <v>R</v>
      </c>
      <c r="M282" t="str">
        <f t="shared" si="23"/>
        <v>PS1_B01_3_R</v>
      </c>
    </row>
    <row r="283" spans="1:13" x14ac:dyDescent="0.25">
      <c r="A283" t="s">
        <v>290</v>
      </c>
      <c r="B283" t="s">
        <v>764</v>
      </c>
      <c r="C283" t="s">
        <v>763</v>
      </c>
      <c r="D283">
        <v>4</v>
      </c>
      <c r="E283" t="s">
        <v>751</v>
      </c>
      <c r="F283" t="s">
        <v>779</v>
      </c>
      <c r="G283" t="str">
        <f t="shared" si="24"/>
        <v>B</v>
      </c>
      <c r="H283">
        <f>_xlfn.XLOOKUP(Table2[[#This Row],[Zone]],Table1[Row],Table1[Max Bay],_xleta.NA,0)</f>
        <v>12</v>
      </c>
      <c r="I283" s="1" t="str">
        <f t="shared" si="20"/>
        <v>01</v>
      </c>
      <c r="J283">
        <f t="shared" si="21"/>
        <v>4</v>
      </c>
      <c r="K283" t="str">
        <f>_xlfn.XLOOKUP(Table2[[#This Row],[Row]],Table1[Row],Table1[StartSide],0)</f>
        <v>L</v>
      </c>
      <c r="L283" t="str">
        <f t="shared" si="22"/>
        <v>L</v>
      </c>
      <c r="M283" t="str">
        <f t="shared" si="23"/>
        <v>PS1_B01_4_L</v>
      </c>
    </row>
    <row r="284" spans="1:13" x14ac:dyDescent="0.25">
      <c r="A284" t="s">
        <v>291</v>
      </c>
      <c r="B284" t="s">
        <v>764</v>
      </c>
      <c r="C284" t="s">
        <v>763</v>
      </c>
      <c r="D284">
        <v>4</v>
      </c>
      <c r="E284" t="s">
        <v>752</v>
      </c>
      <c r="F284" t="s">
        <v>779</v>
      </c>
      <c r="G284" t="str">
        <f t="shared" si="24"/>
        <v>B</v>
      </c>
      <c r="H284">
        <f>_xlfn.XLOOKUP(Table2[[#This Row],[Zone]],Table1[Row],Table1[Max Bay],_xleta.NA,0)</f>
        <v>12</v>
      </c>
      <c r="I284" s="1" t="str">
        <f t="shared" si="20"/>
        <v>01</v>
      </c>
      <c r="J284">
        <f t="shared" si="21"/>
        <v>4</v>
      </c>
      <c r="K284" t="str">
        <f>_xlfn.XLOOKUP(Table2[[#This Row],[Row]],Table1[Row],Table1[StartSide],0)</f>
        <v>L</v>
      </c>
      <c r="L284" t="str">
        <f t="shared" si="22"/>
        <v>R</v>
      </c>
      <c r="M284" t="str">
        <f t="shared" si="23"/>
        <v>PS1_B01_4_R</v>
      </c>
    </row>
    <row r="285" spans="1:13" x14ac:dyDescent="0.25">
      <c r="A285" t="s">
        <v>292</v>
      </c>
      <c r="B285" t="s">
        <v>764</v>
      </c>
      <c r="C285" t="s">
        <v>763</v>
      </c>
      <c r="D285">
        <v>5</v>
      </c>
      <c r="E285" t="s">
        <v>751</v>
      </c>
      <c r="F285" t="s">
        <v>779</v>
      </c>
      <c r="G285" t="str">
        <f t="shared" si="24"/>
        <v>B</v>
      </c>
      <c r="H285">
        <f>_xlfn.XLOOKUP(Table2[[#This Row],[Zone]],Table1[Row],Table1[Max Bay],_xleta.NA,0)</f>
        <v>12</v>
      </c>
      <c r="I285" s="1" t="str">
        <f t="shared" si="20"/>
        <v>01</v>
      </c>
      <c r="J285">
        <f t="shared" si="21"/>
        <v>5</v>
      </c>
      <c r="K285" t="str">
        <f>_xlfn.XLOOKUP(Table2[[#This Row],[Row]],Table1[Row],Table1[StartSide],0)</f>
        <v>L</v>
      </c>
      <c r="L285" t="str">
        <f t="shared" si="22"/>
        <v>L</v>
      </c>
      <c r="M285" t="str">
        <f t="shared" si="23"/>
        <v>PS1_B01_5_L</v>
      </c>
    </row>
    <row r="286" spans="1:13" x14ac:dyDescent="0.25">
      <c r="A286" t="s">
        <v>293</v>
      </c>
      <c r="B286" t="s">
        <v>764</v>
      </c>
      <c r="C286" t="s">
        <v>763</v>
      </c>
      <c r="D286">
        <v>5</v>
      </c>
      <c r="E286" t="s">
        <v>752</v>
      </c>
      <c r="F286" t="s">
        <v>779</v>
      </c>
      <c r="G286" t="str">
        <f t="shared" si="24"/>
        <v>B</v>
      </c>
      <c r="H286">
        <f>_xlfn.XLOOKUP(Table2[[#This Row],[Zone]],Table1[Row],Table1[Max Bay],_xleta.NA,0)</f>
        <v>12</v>
      </c>
      <c r="I286" s="1" t="str">
        <f t="shared" si="20"/>
        <v>01</v>
      </c>
      <c r="J286">
        <f t="shared" si="21"/>
        <v>5</v>
      </c>
      <c r="K286" t="str">
        <f>_xlfn.XLOOKUP(Table2[[#This Row],[Row]],Table1[Row],Table1[StartSide],0)</f>
        <v>L</v>
      </c>
      <c r="L286" t="str">
        <f t="shared" si="22"/>
        <v>R</v>
      </c>
      <c r="M286" t="str">
        <f t="shared" si="23"/>
        <v>PS1_B01_5_R</v>
      </c>
    </row>
    <row r="287" spans="1:13" x14ac:dyDescent="0.25">
      <c r="A287" t="s">
        <v>294</v>
      </c>
      <c r="B287" t="s">
        <v>764</v>
      </c>
      <c r="C287" t="s">
        <v>763</v>
      </c>
      <c r="D287">
        <v>6</v>
      </c>
      <c r="E287" t="s">
        <v>751</v>
      </c>
      <c r="F287" t="s">
        <v>779</v>
      </c>
      <c r="G287" t="str">
        <f t="shared" si="24"/>
        <v>B</v>
      </c>
      <c r="H287">
        <f>_xlfn.XLOOKUP(Table2[[#This Row],[Zone]],Table1[Row],Table1[Max Bay],_xleta.NA,0)</f>
        <v>12</v>
      </c>
      <c r="I287" s="1" t="str">
        <f t="shared" si="20"/>
        <v>01</v>
      </c>
      <c r="J287">
        <f t="shared" si="21"/>
        <v>6</v>
      </c>
      <c r="K287" t="str">
        <f>_xlfn.XLOOKUP(Table2[[#This Row],[Row]],Table1[Row],Table1[StartSide],0)</f>
        <v>L</v>
      </c>
      <c r="L287" t="str">
        <f t="shared" si="22"/>
        <v>L</v>
      </c>
      <c r="M287" t="str">
        <f t="shared" si="23"/>
        <v>PS1_B01_6_L</v>
      </c>
    </row>
    <row r="288" spans="1:13" x14ac:dyDescent="0.25">
      <c r="A288" t="s">
        <v>295</v>
      </c>
      <c r="B288" t="s">
        <v>764</v>
      </c>
      <c r="C288" t="s">
        <v>763</v>
      </c>
      <c r="D288">
        <v>6</v>
      </c>
      <c r="E288" t="s">
        <v>752</v>
      </c>
      <c r="F288" t="s">
        <v>779</v>
      </c>
      <c r="G288" t="str">
        <f t="shared" si="24"/>
        <v>B</v>
      </c>
      <c r="H288">
        <f>_xlfn.XLOOKUP(Table2[[#This Row],[Zone]],Table1[Row],Table1[Max Bay],_xleta.NA,0)</f>
        <v>12</v>
      </c>
      <c r="I288" s="1" t="str">
        <f t="shared" si="20"/>
        <v>01</v>
      </c>
      <c r="J288">
        <f t="shared" si="21"/>
        <v>6</v>
      </c>
      <c r="K288" t="str">
        <f>_xlfn.XLOOKUP(Table2[[#This Row],[Row]],Table1[Row],Table1[StartSide],0)</f>
        <v>L</v>
      </c>
      <c r="L288" t="str">
        <f t="shared" si="22"/>
        <v>R</v>
      </c>
      <c r="M288" t="str">
        <f t="shared" si="23"/>
        <v>PS1_B01_6_R</v>
      </c>
    </row>
    <row r="289" spans="1:13" x14ac:dyDescent="0.25">
      <c r="A289" t="s">
        <v>296</v>
      </c>
      <c r="B289" t="s">
        <v>765</v>
      </c>
      <c r="C289" t="s">
        <v>750</v>
      </c>
      <c r="D289">
        <v>1</v>
      </c>
      <c r="E289" t="s">
        <v>751</v>
      </c>
      <c r="F289" t="s">
        <v>780</v>
      </c>
      <c r="G289" t="str">
        <f t="shared" si="24"/>
        <v>C</v>
      </c>
      <c r="H289">
        <f>_xlfn.XLOOKUP(Table2[[#This Row],[Zone]],Table1[Row],Table1[Max Bay],_xleta.NA,0)</f>
        <v>14</v>
      </c>
      <c r="I289" s="1" t="str">
        <f t="shared" si="20"/>
        <v>14</v>
      </c>
      <c r="J289">
        <f t="shared" si="21"/>
        <v>1</v>
      </c>
      <c r="K289" t="str">
        <f>_xlfn.XLOOKUP(Table2[[#This Row],[Row]],Table1[Row],Table1[StartSide],0)</f>
        <v>R</v>
      </c>
      <c r="L289" t="str">
        <f t="shared" si="22"/>
        <v>L</v>
      </c>
      <c r="M289" t="str">
        <f t="shared" si="23"/>
        <v>PS2_C14_1_L</v>
      </c>
    </row>
    <row r="290" spans="1:13" x14ac:dyDescent="0.25">
      <c r="A290" t="s">
        <v>297</v>
      </c>
      <c r="B290" t="s">
        <v>765</v>
      </c>
      <c r="C290" t="s">
        <v>750</v>
      </c>
      <c r="D290">
        <v>1</v>
      </c>
      <c r="E290" t="s">
        <v>752</v>
      </c>
      <c r="F290" t="s">
        <v>780</v>
      </c>
      <c r="G290" t="str">
        <f t="shared" si="24"/>
        <v>C</v>
      </c>
      <c r="H290">
        <f>_xlfn.XLOOKUP(Table2[[#This Row],[Zone]],Table1[Row],Table1[Max Bay],_xleta.NA,0)</f>
        <v>14</v>
      </c>
      <c r="I290" s="1" t="str">
        <f t="shared" si="20"/>
        <v>14</v>
      </c>
      <c r="J290">
        <f t="shared" si="21"/>
        <v>1</v>
      </c>
      <c r="K290" t="str">
        <f>_xlfn.XLOOKUP(Table2[[#This Row],[Row]],Table1[Row],Table1[StartSide],0)</f>
        <v>R</v>
      </c>
      <c r="L290" t="str">
        <f t="shared" si="22"/>
        <v>R</v>
      </c>
      <c r="M290" t="str">
        <f t="shared" si="23"/>
        <v>PS2_C14_1_R</v>
      </c>
    </row>
    <row r="291" spans="1:13" x14ac:dyDescent="0.25">
      <c r="A291" t="s">
        <v>298</v>
      </c>
      <c r="B291" t="s">
        <v>765</v>
      </c>
      <c r="C291" t="s">
        <v>750</v>
      </c>
      <c r="D291">
        <v>2</v>
      </c>
      <c r="E291" t="s">
        <v>751</v>
      </c>
      <c r="F291" t="s">
        <v>780</v>
      </c>
      <c r="G291" t="str">
        <f t="shared" si="24"/>
        <v>C</v>
      </c>
      <c r="H291">
        <f>_xlfn.XLOOKUP(Table2[[#This Row],[Zone]],Table1[Row],Table1[Max Bay],_xleta.NA,0)</f>
        <v>14</v>
      </c>
      <c r="I291" s="1" t="str">
        <f t="shared" si="20"/>
        <v>14</v>
      </c>
      <c r="J291">
        <f t="shared" si="21"/>
        <v>2</v>
      </c>
      <c r="K291" t="str">
        <f>_xlfn.XLOOKUP(Table2[[#This Row],[Row]],Table1[Row],Table1[StartSide],0)</f>
        <v>R</v>
      </c>
      <c r="L291" t="str">
        <f t="shared" si="22"/>
        <v>L</v>
      </c>
      <c r="M291" t="str">
        <f t="shared" si="23"/>
        <v>PS2_C14_2_L</v>
      </c>
    </row>
    <row r="292" spans="1:13" x14ac:dyDescent="0.25">
      <c r="A292" t="s">
        <v>299</v>
      </c>
      <c r="B292" t="s">
        <v>765</v>
      </c>
      <c r="C292" t="s">
        <v>750</v>
      </c>
      <c r="D292">
        <v>2</v>
      </c>
      <c r="E292" t="s">
        <v>752</v>
      </c>
      <c r="F292" t="s">
        <v>780</v>
      </c>
      <c r="G292" t="str">
        <f t="shared" si="24"/>
        <v>C</v>
      </c>
      <c r="H292">
        <f>_xlfn.XLOOKUP(Table2[[#This Row],[Zone]],Table1[Row],Table1[Max Bay],_xleta.NA,0)</f>
        <v>14</v>
      </c>
      <c r="I292" s="1" t="str">
        <f t="shared" si="20"/>
        <v>14</v>
      </c>
      <c r="J292">
        <f t="shared" si="21"/>
        <v>2</v>
      </c>
      <c r="K292" t="str">
        <f>_xlfn.XLOOKUP(Table2[[#This Row],[Row]],Table1[Row],Table1[StartSide],0)</f>
        <v>R</v>
      </c>
      <c r="L292" t="str">
        <f t="shared" si="22"/>
        <v>R</v>
      </c>
      <c r="M292" t="str">
        <f t="shared" si="23"/>
        <v>PS2_C14_2_R</v>
      </c>
    </row>
    <row r="293" spans="1:13" x14ac:dyDescent="0.25">
      <c r="A293" t="s">
        <v>300</v>
      </c>
      <c r="B293" t="s">
        <v>765</v>
      </c>
      <c r="C293" t="s">
        <v>750</v>
      </c>
      <c r="D293">
        <v>3</v>
      </c>
      <c r="E293" t="s">
        <v>751</v>
      </c>
      <c r="F293" t="s">
        <v>780</v>
      </c>
      <c r="G293" t="str">
        <f t="shared" si="24"/>
        <v>C</v>
      </c>
      <c r="H293">
        <f>_xlfn.XLOOKUP(Table2[[#This Row],[Zone]],Table1[Row],Table1[Max Bay],_xleta.NA,0)</f>
        <v>14</v>
      </c>
      <c r="I293" s="1" t="str">
        <f t="shared" si="20"/>
        <v>14</v>
      </c>
      <c r="J293">
        <f t="shared" si="21"/>
        <v>3</v>
      </c>
      <c r="K293" t="str">
        <f>_xlfn.XLOOKUP(Table2[[#This Row],[Row]],Table1[Row],Table1[StartSide],0)</f>
        <v>R</v>
      </c>
      <c r="L293" t="str">
        <f t="shared" si="22"/>
        <v>L</v>
      </c>
      <c r="M293" t="str">
        <f t="shared" si="23"/>
        <v>PS2_C14_3_L</v>
      </c>
    </row>
    <row r="294" spans="1:13" x14ac:dyDescent="0.25">
      <c r="A294" t="s">
        <v>301</v>
      </c>
      <c r="B294" t="s">
        <v>765</v>
      </c>
      <c r="C294" t="s">
        <v>750</v>
      </c>
      <c r="D294">
        <v>3</v>
      </c>
      <c r="E294" t="s">
        <v>752</v>
      </c>
      <c r="F294" t="s">
        <v>780</v>
      </c>
      <c r="G294" t="str">
        <f t="shared" si="24"/>
        <v>C</v>
      </c>
      <c r="H294">
        <f>_xlfn.XLOOKUP(Table2[[#This Row],[Zone]],Table1[Row],Table1[Max Bay],_xleta.NA,0)</f>
        <v>14</v>
      </c>
      <c r="I294" s="1" t="str">
        <f t="shared" si="20"/>
        <v>14</v>
      </c>
      <c r="J294">
        <f t="shared" si="21"/>
        <v>3</v>
      </c>
      <c r="K294" t="str">
        <f>_xlfn.XLOOKUP(Table2[[#This Row],[Row]],Table1[Row],Table1[StartSide],0)</f>
        <v>R</v>
      </c>
      <c r="L294" t="str">
        <f t="shared" si="22"/>
        <v>R</v>
      </c>
      <c r="M294" t="str">
        <f t="shared" si="23"/>
        <v>PS2_C14_3_R</v>
      </c>
    </row>
    <row r="295" spans="1:13" x14ac:dyDescent="0.25">
      <c r="A295" t="s">
        <v>302</v>
      </c>
      <c r="B295" t="s">
        <v>765</v>
      </c>
      <c r="C295" t="s">
        <v>750</v>
      </c>
      <c r="D295">
        <v>4</v>
      </c>
      <c r="E295" t="s">
        <v>751</v>
      </c>
      <c r="F295" t="s">
        <v>780</v>
      </c>
      <c r="G295" t="str">
        <f t="shared" si="24"/>
        <v>C</v>
      </c>
      <c r="H295">
        <f>_xlfn.XLOOKUP(Table2[[#This Row],[Zone]],Table1[Row],Table1[Max Bay],_xleta.NA,0)</f>
        <v>14</v>
      </c>
      <c r="I295" s="1" t="str">
        <f t="shared" si="20"/>
        <v>14</v>
      </c>
      <c r="J295">
        <f t="shared" si="21"/>
        <v>4</v>
      </c>
      <c r="K295" t="str">
        <f>_xlfn.XLOOKUP(Table2[[#This Row],[Row]],Table1[Row],Table1[StartSide],0)</f>
        <v>R</v>
      </c>
      <c r="L295" t="str">
        <f t="shared" si="22"/>
        <v>L</v>
      </c>
      <c r="M295" t="str">
        <f t="shared" si="23"/>
        <v>PS2_C14_4_L</v>
      </c>
    </row>
    <row r="296" spans="1:13" x14ac:dyDescent="0.25">
      <c r="A296" t="s">
        <v>303</v>
      </c>
      <c r="B296" t="s">
        <v>765</v>
      </c>
      <c r="C296" t="s">
        <v>750</v>
      </c>
      <c r="D296">
        <v>4</v>
      </c>
      <c r="E296" t="s">
        <v>752</v>
      </c>
      <c r="F296" t="s">
        <v>780</v>
      </c>
      <c r="G296" t="str">
        <f t="shared" si="24"/>
        <v>C</v>
      </c>
      <c r="H296">
        <f>_xlfn.XLOOKUP(Table2[[#This Row],[Zone]],Table1[Row],Table1[Max Bay],_xleta.NA,0)</f>
        <v>14</v>
      </c>
      <c r="I296" s="1" t="str">
        <f t="shared" si="20"/>
        <v>14</v>
      </c>
      <c r="J296">
        <f t="shared" si="21"/>
        <v>4</v>
      </c>
      <c r="K296" t="str">
        <f>_xlfn.XLOOKUP(Table2[[#This Row],[Row]],Table1[Row],Table1[StartSide],0)</f>
        <v>R</v>
      </c>
      <c r="L296" t="str">
        <f t="shared" si="22"/>
        <v>R</v>
      </c>
      <c r="M296" t="str">
        <f t="shared" si="23"/>
        <v>PS2_C14_4_R</v>
      </c>
    </row>
    <row r="297" spans="1:13" x14ac:dyDescent="0.25">
      <c r="A297" t="s">
        <v>304</v>
      </c>
      <c r="B297" t="s">
        <v>765</v>
      </c>
      <c r="C297" t="s">
        <v>750</v>
      </c>
      <c r="D297">
        <v>5</v>
      </c>
      <c r="E297" t="s">
        <v>751</v>
      </c>
      <c r="F297" t="s">
        <v>780</v>
      </c>
      <c r="G297" t="str">
        <f t="shared" si="24"/>
        <v>C</v>
      </c>
      <c r="H297">
        <f>_xlfn.XLOOKUP(Table2[[#This Row],[Zone]],Table1[Row],Table1[Max Bay],_xleta.NA,0)</f>
        <v>14</v>
      </c>
      <c r="I297" s="1" t="str">
        <f t="shared" si="20"/>
        <v>14</v>
      </c>
      <c r="J297">
        <f t="shared" si="21"/>
        <v>5</v>
      </c>
      <c r="K297" t="str">
        <f>_xlfn.XLOOKUP(Table2[[#This Row],[Row]],Table1[Row],Table1[StartSide],0)</f>
        <v>R</v>
      </c>
      <c r="L297" t="str">
        <f t="shared" si="22"/>
        <v>L</v>
      </c>
      <c r="M297" t="str">
        <f t="shared" si="23"/>
        <v>PS2_C14_5_L</v>
      </c>
    </row>
    <row r="298" spans="1:13" x14ac:dyDescent="0.25">
      <c r="A298" t="s">
        <v>305</v>
      </c>
      <c r="B298" t="s">
        <v>765</v>
      </c>
      <c r="C298" t="s">
        <v>750</v>
      </c>
      <c r="D298">
        <v>5</v>
      </c>
      <c r="E298" t="s">
        <v>752</v>
      </c>
      <c r="F298" t="s">
        <v>780</v>
      </c>
      <c r="G298" t="str">
        <f t="shared" si="24"/>
        <v>C</v>
      </c>
      <c r="H298">
        <f>_xlfn.XLOOKUP(Table2[[#This Row],[Zone]],Table1[Row],Table1[Max Bay],_xleta.NA,0)</f>
        <v>14</v>
      </c>
      <c r="I298" s="1" t="str">
        <f t="shared" si="20"/>
        <v>14</v>
      </c>
      <c r="J298">
        <f t="shared" si="21"/>
        <v>5</v>
      </c>
      <c r="K298" t="str">
        <f>_xlfn.XLOOKUP(Table2[[#This Row],[Row]],Table1[Row],Table1[StartSide],0)</f>
        <v>R</v>
      </c>
      <c r="L298" t="str">
        <f t="shared" si="22"/>
        <v>R</v>
      </c>
      <c r="M298" t="str">
        <f t="shared" si="23"/>
        <v>PS2_C14_5_R</v>
      </c>
    </row>
    <row r="299" spans="1:13" x14ac:dyDescent="0.25">
      <c r="A299" t="s">
        <v>306</v>
      </c>
      <c r="B299" t="s">
        <v>765</v>
      </c>
      <c r="C299" t="s">
        <v>750</v>
      </c>
      <c r="D299">
        <v>6</v>
      </c>
      <c r="E299" t="s">
        <v>751</v>
      </c>
      <c r="F299" t="s">
        <v>780</v>
      </c>
      <c r="G299" t="str">
        <f t="shared" si="24"/>
        <v>C</v>
      </c>
      <c r="H299">
        <f>_xlfn.XLOOKUP(Table2[[#This Row],[Zone]],Table1[Row],Table1[Max Bay],_xleta.NA,0)</f>
        <v>14</v>
      </c>
      <c r="I299" s="1" t="str">
        <f t="shared" si="20"/>
        <v>14</v>
      </c>
      <c r="J299">
        <f t="shared" si="21"/>
        <v>6</v>
      </c>
      <c r="K299" t="str">
        <f>_xlfn.XLOOKUP(Table2[[#This Row],[Row]],Table1[Row],Table1[StartSide],0)</f>
        <v>R</v>
      </c>
      <c r="L299" t="str">
        <f t="shared" si="22"/>
        <v>L</v>
      </c>
      <c r="M299" t="str">
        <f t="shared" si="23"/>
        <v>PS2_C14_6_L</v>
      </c>
    </row>
    <row r="300" spans="1:13" x14ac:dyDescent="0.25">
      <c r="A300" t="s">
        <v>307</v>
      </c>
      <c r="B300" t="s">
        <v>765</v>
      </c>
      <c r="C300" t="s">
        <v>750</v>
      </c>
      <c r="D300">
        <v>6</v>
      </c>
      <c r="E300" t="s">
        <v>752</v>
      </c>
      <c r="F300" t="s">
        <v>780</v>
      </c>
      <c r="G300" t="str">
        <f t="shared" si="24"/>
        <v>C</v>
      </c>
      <c r="H300">
        <f>_xlfn.XLOOKUP(Table2[[#This Row],[Zone]],Table1[Row],Table1[Max Bay],_xleta.NA,0)</f>
        <v>14</v>
      </c>
      <c r="I300" s="1" t="str">
        <f t="shared" si="20"/>
        <v>14</v>
      </c>
      <c r="J300">
        <f t="shared" si="21"/>
        <v>6</v>
      </c>
      <c r="K300" t="str">
        <f>_xlfn.XLOOKUP(Table2[[#This Row],[Row]],Table1[Row],Table1[StartSide],0)</f>
        <v>R</v>
      </c>
      <c r="L300" t="str">
        <f t="shared" si="22"/>
        <v>R</v>
      </c>
      <c r="M300" t="str">
        <f t="shared" si="23"/>
        <v>PS2_C14_6_R</v>
      </c>
    </row>
    <row r="301" spans="1:13" x14ac:dyDescent="0.25">
      <c r="A301" t="s">
        <v>308</v>
      </c>
      <c r="B301" t="s">
        <v>765</v>
      </c>
      <c r="C301" t="s">
        <v>753</v>
      </c>
      <c r="D301">
        <v>1</v>
      </c>
      <c r="E301" t="s">
        <v>751</v>
      </c>
      <c r="F301" t="s">
        <v>780</v>
      </c>
      <c r="G301" t="str">
        <f t="shared" si="24"/>
        <v>C</v>
      </c>
      <c r="H301">
        <f>_xlfn.XLOOKUP(Table2[[#This Row],[Zone]],Table1[Row],Table1[Max Bay],_xleta.NA,0)</f>
        <v>14</v>
      </c>
      <c r="I301" s="1" t="str">
        <f t="shared" si="20"/>
        <v>13</v>
      </c>
      <c r="J301">
        <f t="shared" si="21"/>
        <v>1</v>
      </c>
      <c r="K301" t="str">
        <f>_xlfn.XLOOKUP(Table2[[#This Row],[Row]],Table1[Row],Table1[StartSide],0)</f>
        <v>R</v>
      </c>
      <c r="L301" t="str">
        <f t="shared" si="22"/>
        <v>L</v>
      </c>
      <c r="M301" t="str">
        <f t="shared" si="23"/>
        <v>PS2_C13_1_L</v>
      </c>
    </row>
    <row r="302" spans="1:13" x14ac:dyDescent="0.25">
      <c r="A302" t="s">
        <v>309</v>
      </c>
      <c r="B302" t="s">
        <v>765</v>
      </c>
      <c r="C302" t="s">
        <v>753</v>
      </c>
      <c r="D302">
        <v>1</v>
      </c>
      <c r="E302" t="s">
        <v>752</v>
      </c>
      <c r="F302" t="s">
        <v>780</v>
      </c>
      <c r="G302" t="str">
        <f t="shared" si="24"/>
        <v>C</v>
      </c>
      <c r="H302">
        <f>_xlfn.XLOOKUP(Table2[[#This Row],[Zone]],Table1[Row],Table1[Max Bay],_xleta.NA,0)</f>
        <v>14</v>
      </c>
      <c r="I302" s="1" t="str">
        <f t="shared" si="20"/>
        <v>13</v>
      </c>
      <c r="J302">
        <f t="shared" si="21"/>
        <v>1</v>
      </c>
      <c r="K302" t="str">
        <f>_xlfn.XLOOKUP(Table2[[#This Row],[Row]],Table1[Row],Table1[StartSide],0)</f>
        <v>R</v>
      </c>
      <c r="L302" t="str">
        <f t="shared" si="22"/>
        <v>R</v>
      </c>
      <c r="M302" t="str">
        <f t="shared" si="23"/>
        <v>PS2_C13_1_R</v>
      </c>
    </row>
    <row r="303" spans="1:13" x14ac:dyDescent="0.25">
      <c r="A303" t="s">
        <v>310</v>
      </c>
      <c r="B303" t="s">
        <v>765</v>
      </c>
      <c r="C303" t="s">
        <v>753</v>
      </c>
      <c r="D303">
        <v>2</v>
      </c>
      <c r="E303" t="s">
        <v>751</v>
      </c>
      <c r="F303" t="s">
        <v>780</v>
      </c>
      <c r="G303" t="str">
        <f t="shared" si="24"/>
        <v>C</v>
      </c>
      <c r="H303">
        <f>_xlfn.XLOOKUP(Table2[[#This Row],[Zone]],Table1[Row],Table1[Max Bay],_xleta.NA,0)</f>
        <v>14</v>
      </c>
      <c r="I303" s="1" t="str">
        <f t="shared" si="20"/>
        <v>13</v>
      </c>
      <c r="J303">
        <f t="shared" si="21"/>
        <v>2</v>
      </c>
      <c r="K303" t="str">
        <f>_xlfn.XLOOKUP(Table2[[#This Row],[Row]],Table1[Row],Table1[StartSide],0)</f>
        <v>R</v>
      </c>
      <c r="L303" t="str">
        <f t="shared" si="22"/>
        <v>L</v>
      </c>
      <c r="M303" t="str">
        <f t="shared" si="23"/>
        <v>PS2_C13_2_L</v>
      </c>
    </row>
    <row r="304" spans="1:13" x14ac:dyDescent="0.25">
      <c r="A304" t="s">
        <v>311</v>
      </c>
      <c r="B304" t="s">
        <v>765</v>
      </c>
      <c r="C304" t="s">
        <v>753</v>
      </c>
      <c r="D304">
        <v>2</v>
      </c>
      <c r="E304" t="s">
        <v>752</v>
      </c>
      <c r="F304" t="s">
        <v>780</v>
      </c>
      <c r="G304" t="str">
        <f t="shared" si="24"/>
        <v>C</v>
      </c>
      <c r="H304">
        <f>_xlfn.XLOOKUP(Table2[[#This Row],[Zone]],Table1[Row],Table1[Max Bay],_xleta.NA,0)</f>
        <v>14</v>
      </c>
      <c r="I304" s="1" t="str">
        <f t="shared" si="20"/>
        <v>13</v>
      </c>
      <c r="J304">
        <f t="shared" si="21"/>
        <v>2</v>
      </c>
      <c r="K304" t="str">
        <f>_xlfn.XLOOKUP(Table2[[#This Row],[Row]],Table1[Row],Table1[StartSide],0)</f>
        <v>R</v>
      </c>
      <c r="L304" t="str">
        <f t="shared" si="22"/>
        <v>R</v>
      </c>
      <c r="M304" t="str">
        <f t="shared" si="23"/>
        <v>PS2_C13_2_R</v>
      </c>
    </row>
    <row r="305" spans="1:13" x14ac:dyDescent="0.25">
      <c r="A305" t="s">
        <v>312</v>
      </c>
      <c r="B305" t="s">
        <v>765</v>
      </c>
      <c r="C305" t="s">
        <v>753</v>
      </c>
      <c r="D305">
        <v>3</v>
      </c>
      <c r="E305" t="s">
        <v>751</v>
      </c>
      <c r="F305" t="s">
        <v>780</v>
      </c>
      <c r="G305" t="str">
        <f t="shared" si="24"/>
        <v>C</v>
      </c>
      <c r="H305">
        <f>_xlfn.XLOOKUP(Table2[[#This Row],[Zone]],Table1[Row],Table1[Max Bay],_xleta.NA,0)</f>
        <v>14</v>
      </c>
      <c r="I305" s="1" t="str">
        <f t="shared" si="20"/>
        <v>13</v>
      </c>
      <c r="J305">
        <f t="shared" si="21"/>
        <v>3</v>
      </c>
      <c r="K305" t="str">
        <f>_xlfn.XLOOKUP(Table2[[#This Row],[Row]],Table1[Row],Table1[StartSide],0)</f>
        <v>R</v>
      </c>
      <c r="L305" t="str">
        <f t="shared" si="22"/>
        <v>L</v>
      </c>
      <c r="M305" t="str">
        <f t="shared" si="23"/>
        <v>PS2_C13_3_L</v>
      </c>
    </row>
    <row r="306" spans="1:13" x14ac:dyDescent="0.25">
      <c r="A306" t="s">
        <v>313</v>
      </c>
      <c r="B306" t="s">
        <v>765</v>
      </c>
      <c r="C306" t="s">
        <v>753</v>
      </c>
      <c r="D306">
        <v>3</v>
      </c>
      <c r="E306" t="s">
        <v>752</v>
      </c>
      <c r="F306" t="s">
        <v>780</v>
      </c>
      <c r="G306" t="str">
        <f t="shared" si="24"/>
        <v>C</v>
      </c>
      <c r="H306">
        <f>_xlfn.XLOOKUP(Table2[[#This Row],[Zone]],Table1[Row],Table1[Max Bay],_xleta.NA,0)</f>
        <v>14</v>
      </c>
      <c r="I306" s="1" t="str">
        <f t="shared" si="20"/>
        <v>13</v>
      </c>
      <c r="J306">
        <f t="shared" si="21"/>
        <v>3</v>
      </c>
      <c r="K306" t="str">
        <f>_xlfn.XLOOKUP(Table2[[#This Row],[Row]],Table1[Row],Table1[StartSide],0)</f>
        <v>R</v>
      </c>
      <c r="L306" t="str">
        <f t="shared" si="22"/>
        <v>R</v>
      </c>
      <c r="M306" t="str">
        <f t="shared" si="23"/>
        <v>PS2_C13_3_R</v>
      </c>
    </row>
    <row r="307" spans="1:13" x14ac:dyDescent="0.25">
      <c r="A307" t="s">
        <v>314</v>
      </c>
      <c r="B307" t="s">
        <v>765</v>
      </c>
      <c r="C307" t="s">
        <v>753</v>
      </c>
      <c r="D307">
        <v>4</v>
      </c>
      <c r="E307" t="s">
        <v>751</v>
      </c>
      <c r="F307" t="s">
        <v>780</v>
      </c>
      <c r="G307" t="str">
        <f t="shared" si="24"/>
        <v>C</v>
      </c>
      <c r="H307">
        <f>_xlfn.XLOOKUP(Table2[[#This Row],[Zone]],Table1[Row],Table1[Max Bay],_xleta.NA,0)</f>
        <v>14</v>
      </c>
      <c r="I307" s="1" t="str">
        <f t="shared" si="20"/>
        <v>13</v>
      </c>
      <c r="J307">
        <f t="shared" si="21"/>
        <v>4</v>
      </c>
      <c r="K307" t="str">
        <f>_xlfn.XLOOKUP(Table2[[#This Row],[Row]],Table1[Row],Table1[StartSide],0)</f>
        <v>R</v>
      </c>
      <c r="L307" t="str">
        <f t="shared" si="22"/>
        <v>L</v>
      </c>
      <c r="M307" t="str">
        <f t="shared" si="23"/>
        <v>PS2_C13_4_L</v>
      </c>
    </row>
    <row r="308" spans="1:13" x14ac:dyDescent="0.25">
      <c r="A308" t="s">
        <v>315</v>
      </c>
      <c r="B308" t="s">
        <v>765</v>
      </c>
      <c r="C308" t="s">
        <v>753</v>
      </c>
      <c r="D308">
        <v>4</v>
      </c>
      <c r="E308" t="s">
        <v>752</v>
      </c>
      <c r="F308" t="s">
        <v>780</v>
      </c>
      <c r="G308" t="str">
        <f t="shared" si="24"/>
        <v>C</v>
      </c>
      <c r="H308">
        <f>_xlfn.XLOOKUP(Table2[[#This Row],[Zone]],Table1[Row],Table1[Max Bay],_xleta.NA,0)</f>
        <v>14</v>
      </c>
      <c r="I308" s="1" t="str">
        <f t="shared" si="20"/>
        <v>13</v>
      </c>
      <c r="J308">
        <f t="shared" si="21"/>
        <v>4</v>
      </c>
      <c r="K308" t="str">
        <f>_xlfn.XLOOKUP(Table2[[#This Row],[Row]],Table1[Row],Table1[StartSide],0)</f>
        <v>R</v>
      </c>
      <c r="L308" t="str">
        <f t="shared" si="22"/>
        <v>R</v>
      </c>
      <c r="M308" t="str">
        <f t="shared" si="23"/>
        <v>PS2_C13_4_R</v>
      </c>
    </row>
    <row r="309" spans="1:13" x14ac:dyDescent="0.25">
      <c r="A309" t="s">
        <v>316</v>
      </c>
      <c r="B309" t="s">
        <v>765</v>
      </c>
      <c r="C309" t="s">
        <v>753</v>
      </c>
      <c r="D309">
        <v>5</v>
      </c>
      <c r="E309" t="s">
        <v>751</v>
      </c>
      <c r="F309" t="s">
        <v>780</v>
      </c>
      <c r="G309" t="str">
        <f t="shared" si="24"/>
        <v>C</v>
      </c>
      <c r="H309">
        <f>_xlfn.XLOOKUP(Table2[[#This Row],[Zone]],Table1[Row],Table1[Max Bay],_xleta.NA,0)</f>
        <v>14</v>
      </c>
      <c r="I309" s="1" t="str">
        <f t="shared" si="20"/>
        <v>13</v>
      </c>
      <c r="J309">
        <f t="shared" si="21"/>
        <v>5</v>
      </c>
      <c r="K309" t="str">
        <f>_xlfn.XLOOKUP(Table2[[#This Row],[Row]],Table1[Row],Table1[StartSide],0)</f>
        <v>R</v>
      </c>
      <c r="L309" t="str">
        <f t="shared" si="22"/>
        <v>L</v>
      </c>
      <c r="M309" t="str">
        <f t="shared" si="23"/>
        <v>PS2_C13_5_L</v>
      </c>
    </row>
    <row r="310" spans="1:13" x14ac:dyDescent="0.25">
      <c r="A310" t="s">
        <v>317</v>
      </c>
      <c r="B310" t="s">
        <v>765</v>
      </c>
      <c r="C310" t="s">
        <v>753</v>
      </c>
      <c r="D310">
        <v>5</v>
      </c>
      <c r="E310" t="s">
        <v>752</v>
      </c>
      <c r="F310" t="s">
        <v>780</v>
      </c>
      <c r="G310" t="str">
        <f t="shared" si="24"/>
        <v>C</v>
      </c>
      <c r="H310">
        <f>_xlfn.XLOOKUP(Table2[[#This Row],[Zone]],Table1[Row],Table1[Max Bay],_xleta.NA,0)</f>
        <v>14</v>
      </c>
      <c r="I310" s="1" t="str">
        <f t="shared" si="20"/>
        <v>13</v>
      </c>
      <c r="J310">
        <f t="shared" si="21"/>
        <v>5</v>
      </c>
      <c r="K310" t="str">
        <f>_xlfn.XLOOKUP(Table2[[#This Row],[Row]],Table1[Row],Table1[StartSide],0)</f>
        <v>R</v>
      </c>
      <c r="L310" t="str">
        <f t="shared" si="22"/>
        <v>R</v>
      </c>
      <c r="M310" t="str">
        <f t="shared" si="23"/>
        <v>PS2_C13_5_R</v>
      </c>
    </row>
    <row r="311" spans="1:13" x14ac:dyDescent="0.25">
      <c r="A311" t="s">
        <v>318</v>
      </c>
      <c r="B311" t="s">
        <v>765</v>
      </c>
      <c r="C311" t="s">
        <v>753</v>
      </c>
      <c r="D311">
        <v>6</v>
      </c>
      <c r="E311" t="s">
        <v>751</v>
      </c>
      <c r="F311" t="s">
        <v>780</v>
      </c>
      <c r="G311" t="str">
        <f t="shared" si="24"/>
        <v>C</v>
      </c>
      <c r="H311">
        <f>_xlfn.XLOOKUP(Table2[[#This Row],[Zone]],Table1[Row],Table1[Max Bay],_xleta.NA,0)</f>
        <v>14</v>
      </c>
      <c r="I311" s="1" t="str">
        <f t="shared" si="20"/>
        <v>13</v>
      </c>
      <c r="J311">
        <f t="shared" si="21"/>
        <v>6</v>
      </c>
      <c r="K311" t="str">
        <f>_xlfn.XLOOKUP(Table2[[#This Row],[Row]],Table1[Row],Table1[StartSide],0)</f>
        <v>R</v>
      </c>
      <c r="L311" t="str">
        <f t="shared" si="22"/>
        <v>L</v>
      </c>
      <c r="M311" t="str">
        <f t="shared" si="23"/>
        <v>PS2_C13_6_L</v>
      </c>
    </row>
    <row r="312" spans="1:13" x14ac:dyDescent="0.25">
      <c r="A312" t="s">
        <v>319</v>
      </c>
      <c r="B312" t="s">
        <v>765</v>
      </c>
      <c r="C312" t="s">
        <v>754</v>
      </c>
      <c r="D312">
        <v>1</v>
      </c>
      <c r="E312" t="s">
        <v>751</v>
      </c>
      <c r="F312" t="s">
        <v>780</v>
      </c>
      <c r="G312" t="str">
        <f t="shared" si="24"/>
        <v>C</v>
      </c>
      <c r="H312">
        <f>_xlfn.XLOOKUP(Table2[[#This Row],[Zone]],Table1[Row],Table1[Max Bay],_xleta.NA,0)</f>
        <v>14</v>
      </c>
      <c r="I312" s="1" t="str">
        <f t="shared" si="20"/>
        <v>12</v>
      </c>
      <c r="J312">
        <f t="shared" si="21"/>
        <v>1</v>
      </c>
      <c r="K312" t="str">
        <f>_xlfn.XLOOKUP(Table2[[#This Row],[Row]],Table1[Row],Table1[StartSide],0)</f>
        <v>R</v>
      </c>
      <c r="L312" t="str">
        <f t="shared" si="22"/>
        <v>L</v>
      </c>
      <c r="M312" t="str">
        <f t="shared" si="23"/>
        <v>PS2_C12_1_L</v>
      </c>
    </row>
    <row r="313" spans="1:13" x14ac:dyDescent="0.25">
      <c r="A313" t="s">
        <v>320</v>
      </c>
      <c r="B313" t="s">
        <v>765</v>
      </c>
      <c r="C313" t="s">
        <v>754</v>
      </c>
      <c r="D313">
        <v>1</v>
      </c>
      <c r="E313" t="s">
        <v>752</v>
      </c>
      <c r="F313" t="s">
        <v>780</v>
      </c>
      <c r="G313" t="str">
        <f t="shared" si="24"/>
        <v>C</v>
      </c>
      <c r="H313">
        <f>_xlfn.XLOOKUP(Table2[[#This Row],[Zone]],Table1[Row],Table1[Max Bay],_xleta.NA,0)</f>
        <v>14</v>
      </c>
      <c r="I313" s="1" t="str">
        <f t="shared" si="20"/>
        <v>12</v>
      </c>
      <c r="J313">
        <f t="shared" si="21"/>
        <v>1</v>
      </c>
      <c r="K313" t="str">
        <f>_xlfn.XLOOKUP(Table2[[#This Row],[Row]],Table1[Row],Table1[StartSide],0)</f>
        <v>R</v>
      </c>
      <c r="L313" t="str">
        <f t="shared" si="22"/>
        <v>R</v>
      </c>
      <c r="M313" t="str">
        <f t="shared" si="23"/>
        <v>PS2_C12_1_R</v>
      </c>
    </row>
    <row r="314" spans="1:13" x14ac:dyDescent="0.25">
      <c r="A314" t="s">
        <v>321</v>
      </c>
      <c r="B314" t="s">
        <v>765</v>
      </c>
      <c r="C314" t="s">
        <v>754</v>
      </c>
      <c r="D314">
        <v>2</v>
      </c>
      <c r="E314" t="s">
        <v>751</v>
      </c>
      <c r="F314" t="s">
        <v>780</v>
      </c>
      <c r="G314" t="str">
        <f t="shared" si="24"/>
        <v>C</v>
      </c>
      <c r="H314">
        <f>_xlfn.XLOOKUP(Table2[[#This Row],[Zone]],Table1[Row],Table1[Max Bay],_xleta.NA,0)</f>
        <v>14</v>
      </c>
      <c r="I314" s="1" t="str">
        <f t="shared" si="20"/>
        <v>12</v>
      </c>
      <c r="J314">
        <f t="shared" si="21"/>
        <v>2</v>
      </c>
      <c r="K314" t="str">
        <f>_xlfn.XLOOKUP(Table2[[#This Row],[Row]],Table1[Row],Table1[StartSide],0)</f>
        <v>R</v>
      </c>
      <c r="L314" t="str">
        <f t="shared" si="22"/>
        <v>L</v>
      </c>
      <c r="M314" t="str">
        <f t="shared" si="23"/>
        <v>PS2_C12_2_L</v>
      </c>
    </row>
    <row r="315" spans="1:13" x14ac:dyDescent="0.25">
      <c r="A315" t="s">
        <v>322</v>
      </c>
      <c r="B315" t="s">
        <v>765</v>
      </c>
      <c r="C315" t="s">
        <v>754</v>
      </c>
      <c r="D315">
        <v>2</v>
      </c>
      <c r="E315" t="s">
        <v>752</v>
      </c>
      <c r="F315" t="s">
        <v>780</v>
      </c>
      <c r="G315" t="str">
        <f t="shared" si="24"/>
        <v>C</v>
      </c>
      <c r="H315">
        <f>_xlfn.XLOOKUP(Table2[[#This Row],[Zone]],Table1[Row],Table1[Max Bay],_xleta.NA,0)</f>
        <v>14</v>
      </c>
      <c r="I315" s="1" t="str">
        <f t="shared" si="20"/>
        <v>12</v>
      </c>
      <c r="J315">
        <f t="shared" si="21"/>
        <v>2</v>
      </c>
      <c r="K315" t="str">
        <f>_xlfn.XLOOKUP(Table2[[#This Row],[Row]],Table1[Row],Table1[StartSide],0)</f>
        <v>R</v>
      </c>
      <c r="L315" t="str">
        <f t="shared" si="22"/>
        <v>R</v>
      </c>
      <c r="M315" t="str">
        <f t="shared" si="23"/>
        <v>PS2_C12_2_R</v>
      </c>
    </row>
    <row r="316" spans="1:13" x14ac:dyDescent="0.25">
      <c r="A316" t="s">
        <v>323</v>
      </c>
      <c r="B316" t="s">
        <v>765</v>
      </c>
      <c r="C316" t="s">
        <v>754</v>
      </c>
      <c r="D316">
        <v>3</v>
      </c>
      <c r="E316" t="s">
        <v>751</v>
      </c>
      <c r="F316" t="s">
        <v>780</v>
      </c>
      <c r="G316" t="str">
        <f t="shared" si="24"/>
        <v>C</v>
      </c>
      <c r="H316">
        <f>_xlfn.XLOOKUP(Table2[[#This Row],[Zone]],Table1[Row],Table1[Max Bay],_xleta.NA,0)</f>
        <v>14</v>
      </c>
      <c r="I316" s="1" t="str">
        <f t="shared" si="20"/>
        <v>12</v>
      </c>
      <c r="J316">
        <f t="shared" si="21"/>
        <v>3</v>
      </c>
      <c r="K316" t="str">
        <f>_xlfn.XLOOKUP(Table2[[#This Row],[Row]],Table1[Row],Table1[StartSide],0)</f>
        <v>R</v>
      </c>
      <c r="L316" t="str">
        <f t="shared" si="22"/>
        <v>L</v>
      </c>
      <c r="M316" t="str">
        <f t="shared" si="23"/>
        <v>PS2_C12_3_L</v>
      </c>
    </row>
    <row r="317" spans="1:13" x14ac:dyDescent="0.25">
      <c r="A317" t="s">
        <v>324</v>
      </c>
      <c r="B317" t="s">
        <v>765</v>
      </c>
      <c r="C317" t="s">
        <v>754</v>
      </c>
      <c r="D317">
        <v>3</v>
      </c>
      <c r="E317" t="s">
        <v>752</v>
      </c>
      <c r="F317" t="s">
        <v>780</v>
      </c>
      <c r="G317" t="str">
        <f t="shared" si="24"/>
        <v>C</v>
      </c>
      <c r="H317">
        <f>_xlfn.XLOOKUP(Table2[[#This Row],[Zone]],Table1[Row],Table1[Max Bay],_xleta.NA,0)</f>
        <v>14</v>
      </c>
      <c r="I317" s="1" t="str">
        <f t="shared" si="20"/>
        <v>12</v>
      </c>
      <c r="J317">
        <f t="shared" si="21"/>
        <v>3</v>
      </c>
      <c r="K317" t="str">
        <f>_xlfn.XLOOKUP(Table2[[#This Row],[Row]],Table1[Row],Table1[StartSide],0)</f>
        <v>R</v>
      </c>
      <c r="L317" t="str">
        <f t="shared" si="22"/>
        <v>R</v>
      </c>
      <c r="M317" t="str">
        <f t="shared" si="23"/>
        <v>PS2_C12_3_R</v>
      </c>
    </row>
    <row r="318" spans="1:13" x14ac:dyDescent="0.25">
      <c r="A318" t="s">
        <v>325</v>
      </c>
      <c r="B318" t="s">
        <v>765</v>
      </c>
      <c r="C318" t="s">
        <v>754</v>
      </c>
      <c r="D318">
        <v>4</v>
      </c>
      <c r="E318" t="s">
        <v>751</v>
      </c>
      <c r="F318" t="s">
        <v>780</v>
      </c>
      <c r="G318" t="str">
        <f t="shared" si="24"/>
        <v>C</v>
      </c>
      <c r="H318">
        <f>_xlfn.XLOOKUP(Table2[[#This Row],[Zone]],Table1[Row],Table1[Max Bay],_xleta.NA,0)</f>
        <v>14</v>
      </c>
      <c r="I318" s="1" t="str">
        <f t="shared" si="20"/>
        <v>12</v>
      </c>
      <c r="J318">
        <f t="shared" si="21"/>
        <v>4</v>
      </c>
      <c r="K318" t="str">
        <f>_xlfn.XLOOKUP(Table2[[#This Row],[Row]],Table1[Row],Table1[StartSide],0)</f>
        <v>R</v>
      </c>
      <c r="L318" t="str">
        <f t="shared" si="22"/>
        <v>L</v>
      </c>
      <c r="M318" t="str">
        <f t="shared" si="23"/>
        <v>PS2_C12_4_L</v>
      </c>
    </row>
    <row r="319" spans="1:13" x14ac:dyDescent="0.25">
      <c r="A319" t="s">
        <v>326</v>
      </c>
      <c r="B319" t="s">
        <v>765</v>
      </c>
      <c r="C319" t="s">
        <v>754</v>
      </c>
      <c r="D319">
        <v>4</v>
      </c>
      <c r="E319" t="s">
        <v>752</v>
      </c>
      <c r="F319" t="s">
        <v>780</v>
      </c>
      <c r="G319" t="str">
        <f t="shared" si="24"/>
        <v>C</v>
      </c>
      <c r="H319">
        <f>_xlfn.XLOOKUP(Table2[[#This Row],[Zone]],Table1[Row],Table1[Max Bay],_xleta.NA,0)</f>
        <v>14</v>
      </c>
      <c r="I319" s="1" t="str">
        <f t="shared" si="20"/>
        <v>12</v>
      </c>
      <c r="J319">
        <f t="shared" si="21"/>
        <v>4</v>
      </c>
      <c r="K319" t="str">
        <f>_xlfn.XLOOKUP(Table2[[#This Row],[Row]],Table1[Row],Table1[StartSide],0)</f>
        <v>R</v>
      </c>
      <c r="L319" t="str">
        <f t="shared" si="22"/>
        <v>R</v>
      </c>
      <c r="M319" t="str">
        <f t="shared" si="23"/>
        <v>PS2_C12_4_R</v>
      </c>
    </row>
    <row r="320" spans="1:13" x14ac:dyDescent="0.25">
      <c r="A320" t="s">
        <v>327</v>
      </c>
      <c r="B320" t="s">
        <v>765</v>
      </c>
      <c r="C320" t="s">
        <v>754</v>
      </c>
      <c r="D320">
        <v>6</v>
      </c>
      <c r="E320" t="s">
        <v>751</v>
      </c>
      <c r="F320" t="s">
        <v>780</v>
      </c>
      <c r="G320" t="str">
        <f t="shared" si="24"/>
        <v>C</v>
      </c>
      <c r="H320">
        <f>_xlfn.XLOOKUP(Table2[[#This Row],[Zone]],Table1[Row],Table1[Max Bay],_xleta.NA,0)</f>
        <v>14</v>
      </c>
      <c r="I320" s="1" t="str">
        <f t="shared" si="20"/>
        <v>12</v>
      </c>
      <c r="J320">
        <f t="shared" si="21"/>
        <v>6</v>
      </c>
      <c r="K320" t="str">
        <f>_xlfn.XLOOKUP(Table2[[#This Row],[Row]],Table1[Row],Table1[StartSide],0)</f>
        <v>R</v>
      </c>
      <c r="L320" t="str">
        <f t="shared" si="22"/>
        <v>L</v>
      </c>
      <c r="M320" t="str">
        <f t="shared" si="23"/>
        <v>PS2_C12_6_L</v>
      </c>
    </row>
    <row r="321" spans="1:13" x14ac:dyDescent="0.25">
      <c r="A321" t="s">
        <v>328</v>
      </c>
      <c r="B321" t="s">
        <v>765</v>
      </c>
      <c r="C321" t="s">
        <v>754</v>
      </c>
      <c r="D321">
        <v>6</v>
      </c>
      <c r="E321" t="s">
        <v>752</v>
      </c>
      <c r="F321" t="s">
        <v>780</v>
      </c>
      <c r="G321" t="str">
        <f t="shared" si="24"/>
        <v>C</v>
      </c>
      <c r="H321">
        <f>_xlfn.XLOOKUP(Table2[[#This Row],[Zone]],Table1[Row],Table1[Max Bay],_xleta.NA,0)</f>
        <v>14</v>
      </c>
      <c r="I321" s="1" t="str">
        <f t="shared" si="20"/>
        <v>12</v>
      </c>
      <c r="J321">
        <f t="shared" si="21"/>
        <v>6</v>
      </c>
      <c r="K321" t="str">
        <f>_xlfn.XLOOKUP(Table2[[#This Row],[Row]],Table1[Row],Table1[StartSide],0)</f>
        <v>R</v>
      </c>
      <c r="L321" t="str">
        <f t="shared" si="22"/>
        <v>R</v>
      </c>
      <c r="M321" t="str">
        <f t="shared" si="23"/>
        <v>PS2_C12_6_R</v>
      </c>
    </row>
    <row r="322" spans="1:13" x14ac:dyDescent="0.25">
      <c r="A322" t="s">
        <v>329</v>
      </c>
      <c r="B322" t="s">
        <v>765</v>
      </c>
      <c r="C322" t="s">
        <v>755</v>
      </c>
      <c r="D322">
        <v>1</v>
      </c>
      <c r="E322" t="s">
        <v>751</v>
      </c>
      <c r="F322" t="s">
        <v>780</v>
      </c>
      <c r="G322" t="str">
        <f t="shared" si="24"/>
        <v>C</v>
      </c>
      <c r="H322">
        <f>_xlfn.XLOOKUP(Table2[[#This Row],[Zone]],Table1[Row],Table1[Max Bay],_xleta.NA,0)</f>
        <v>14</v>
      </c>
      <c r="I322" s="1" t="str">
        <f t="shared" ref="I322:I385" si="25">TEXT(H322-INT(C322)+1,"00")</f>
        <v>11</v>
      </c>
      <c r="J322">
        <f t="shared" ref="J322:J385" si="26">D322</f>
        <v>1</v>
      </c>
      <c r="K322" t="str">
        <f>_xlfn.XLOOKUP(Table2[[#This Row],[Row]],Table1[Row],Table1[StartSide],0)</f>
        <v>R</v>
      </c>
      <c r="L322" t="str">
        <f t="shared" ref="L322:L385" si="27">E322</f>
        <v>L</v>
      </c>
      <c r="M322" t="str">
        <f t="shared" ref="M322:M385" si="28">_xlfn.CONCAT(F322,"_",G322,I322,"_",J322,"_",L322)</f>
        <v>PS2_C11_1_L</v>
      </c>
    </row>
    <row r="323" spans="1:13" x14ac:dyDescent="0.25">
      <c r="A323" t="s">
        <v>330</v>
      </c>
      <c r="B323" t="s">
        <v>765</v>
      </c>
      <c r="C323" t="s">
        <v>755</v>
      </c>
      <c r="D323">
        <v>1</v>
      </c>
      <c r="E323" t="s">
        <v>752</v>
      </c>
      <c r="F323" t="s">
        <v>780</v>
      </c>
      <c r="G323" t="str">
        <f t="shared" ref="G323:G386" si="29">B323</f>
        <v>C</v>
      </c>
      <c r="H323">
        <f>_xlfn.XLOOKUP(Table2[[#This Row],[Zone]],Table1[Row],Table1[Max Bay],_xleta.NA,0)</f>
        <v>14</v>
      </c>
      <c r="I323" s="1" t="str">
        <f t="shared" si="25"/>
        <v>11</v>
      </c>
      <c r="J323">
        <f t="shared" si="26"/>
        <v>1</v>
      </c>
      <c r="K323" t="str">
        <f>_xlfn.XLOOKUP(Table2[[#This Row],[Row]],Table1[Row],Table1[StartSide],0)</f>
        <v>R</v>
      </c>
      <c r="L323" t="str">
        <f t="shared" si="27"/>
        <v>R</v>
      </c>
      <c r="M323" t="str">
        <f t="shared" si="28"/>
        <v>PS2_C11_1_R</v>
      </c>
    </row>
    <row r="324" spans="1:13" x14ac:dyDescent="0.25">
      <c r="A324" t="s">
        <v>331</v>
      </c>
      <c r="B324" t="s">
        <v>765</v>
      </c>
      <c r="C324" t="s">
        <v>755</v>
      </c>
      <c r="D324">
        <v>2</v>
      </c>
      <c r="E324" t="s">
        <v>751</v>
      </c>
      <c r="F324" t="s">
        <v>780</v>
      </c>
      <c r="G324" t="str">
        <f t="shared" si="29"/>
        <v>C</v>
      </c>
      <c r="H324">
        <f>_xlfn.XLOOKUP(Table2[[#This Row],[Zone]],Table1[Row],Table1[Max Bay],_xleta.NA,0)</f>
        <v>14</v>
      </c>
      <c r="I324" s="1" t="str">
        <f t="shared" si="25"/>
        <v>11</v>
      </c>
      <c r="J324">
        <f t="shared" si="26"/>
        <v>2</v>
      </c>
      <c r="K324" t="str">
        <f>_xlfn.XLOOKUP(Table2[[#This Row],[Row]],Table1[Row],Table1[StartSide],0)</f>
        <v>R</v>
      </c>
      <c r="L324" t="str">
        <f t="shared" si="27"/>
        <v>L</v>
      </c>
      <c r="M324" t="str">
        <f t="shared" si="28"/>
        <v>PS2_C11_2_L</v>
      </c>
    </row>
    <row r="325" spans="1:13" x14ac:dyDescent="0.25">
      <c r="A325" t="s">
        <v>332</v>
      </c>
      <c r="B325" t="s">
        <v>765</v>
      </c>
      <c r="C325" t="s">
        <v>755</v>
      </c>
      <c r="D325">
        <v>2</v>
      </c>
      <c r="E325" t="s">
        <v>752</v>
      </c>
      <c r="F325" t="s">
        <v>780</v>
      </c>
      <c r="G325" t="str">
        <f t="shared" si="29"/>
        <v>C</v>
      </c>
      <c r="H325">
        <f>_xlfn.XLOOKUP(Table2[[#This Row],[Zone]],Table1[Row],Table1[Max Bay],_xleta.NA,0)</f>
        <v>14</v>
      </c>
      <c r="I325" s="1" t="str">
        <f t="shared" si="25"/>
        <v>11</v>
      </c>
      <c r="J325">
        <f t="shared" si="26"/>
        <v>2</v>
      </c>
      <c r="K325" t="str">
        <f>_xlfn.XLOOKUP(Table2[[#This Row],[Row]],Table1[Row],Table1[StartSide],0)</f>
        <v>R</v>
      </c>
      <c r="L325" t="str">
        <f t="shared" si="27"/>
        <v>R</v>
      </c>
      <c r="M325" t="str">
        <f t="shared" si="28"/>
        <v>PS2_C11_2_R</v>
      </c>
    </row>
    <row r="326" spans="1:13" x14ac:dyDescent="0.25">
      <c r="A326" t="s">
        <v>333</v>
      </c>
      <c r="B326" t="s">
        <v>765</v>
      </c>
      <c r="C326" t="s">
        <v>755</v>
      </c>
      <c r="D326">
        <v>3</v>
      </c>
      <c r="E326" t="s">
        <v>751</v>
      </c>
      <c r="F326" t="s">
        <v>780</v>
      </c>
      <c r="G326" t="str">
        <f t="shared" si="29"/>
        <v>C</v>
      </c>
      <c r="H326">
        <f>_xlfn.XLOOKUP(Table2[[#This Row],[Zone]],Table1[Row],Table1[Max Bay],_xleta.NA,0)</f>
        <v>14</v>
      </c>
      <c r="I326" s="1" t="str">
        <f t="shared" si="25"/>
        <v>11</v>
      </c>
      <c r="J326">
        <f t="shared" si="26"/>
        <v>3</v>
      </c>
      <c r="K326" t="str">
        <f>_xlfn.XLOOKUP(Table2[[#This Row],[Row]],Table1[Row],Table1[StartSide],0)</f>
        <v>R</v>
      </c>
      <c r="L326" t="str">
        <f t="shared" si="27"/>
        <v>L</v>
      </c>
      <c r="M326" t="str">
        <f t="shared" si="28"/>
        <v>PS2_C11_3_L</v>
      </c>
    </row>
    <row r="327" spans="1:13" x14ac:dyDescent="0.25">
      <c r="A327" t="s">
        <v>334</v>
      </c>
      <c r="B327" t="s">
        <v>765</v>
      </c>
      <c r="C327" t="s">
        <v>755</v>
      </c>
      <c r="D327">
        <v>3</v>
      </c>
      <c r="E327" t="s">
        <v>752</v>
      </c>
      <c r="F327" t="s">
        <v>780</v>
      </c>
      <c r="G327" t="str">
        <f t="shared" si="29"/>
        <v>C</v>
      </c>
      <c r="H327">
        <f>_xlfn.XLOOKUP(Table2[[#This Row],[Zone]],Table1[Row],Table1[Max Bay],_xleta.NA,0)</f>
        <v>14</v>
      </c>
      <c r="I327" s="1" t="str">
        <f t="shared" si="25"/>
        <v>11</v>
      </c>
      <c r="J327">
        <f t="shared" si="26"/>
        <v>3</v>
      </c>
      <c r="K327" t="str">
        <f>_xlfn.XLOOKUP(Table2[[#This Row],[Row]],Table1[Row],Table1[StartSide],0)</f>
        <v>R</v>
      </c>
      <c r="L327" t="str">
        <f t="shared" si="27"/>
        <v>R</v>
      </c>
      <c r="M327" t="str">
        <f t="shared" si="28"/>
        <v>PS2_C11_3_R</v>
      </c>
    </row>
    <row r="328" spans="1:13" x14ac:dyDescent="0.25">
      <c r="A328" t="s">
        <v>335</v>
      </c>
      <c r="B328" t="s">
        <v>765</v>
      </c>
      <c r="C328" t="s">
        <v>755</v>
      </c>
      <c r="D328">
        <v>4</v>
      </c>
      <c r="E328" t="s">
        <v>751</v>
      </c>
      <c r="F328" t="s">
        <v>780</v>
      </c>
      <c r="G328" t="str">
        <f t="shared" si="29"/>
        <v>C</v>
      </c>
      <c r="H328">
        <f>_xlfn.XLOOKUP(Table2[[#This Row],[Zone]],Table1[Row],Table1[Max Bay],_xleta.NA,0)</f>
        <v>14</v>
      </c>
      <c r="I328" s="1" t="str">
        <f t="shared" si="25"/>
        <v>11</v>
      </c>
      <c r="J328">
        <f t="shared" si="26"/>
        <v>4</v>
      </c>
      <c r="K328" t="str">
        <f>_xlfn.XLOOKUP(Table2[[#This Row],[Row]],Table1[Row],Table1[StartSide],0)</f>
        <v>R</v>
      </c>
      <c r="L328" t="str">
        <f t="shared" si="27"/>
        <v>L</v>
      </c>
      <c r="M328" t="str">
        <f t="shared" si="28"/>
        <v>PS2_C11_4_L</v>
      </c>
    </row>
    <row r="329" spans="1:13" x14ac:dyDescent="0.25">
      <c r="A329" t="s">
        <v>336</v>
      </c>
      <c r="B329" t="s">
        <v>765</v>
      </c>
      <c r="C329" t="s">
        <v>755</v>
      </c>
      <c r="D329">
        <v>4</v>
      </c>
      <c r="E329" t="s">
        <v>752</v>
      </c>
      <c r="F329" t="s">
        <v>780</v>
      </c>
      <c r="G329" t="str">
        <f t="shared" si="29"/>
        <v>C</v>
      </c>
      <c r="H329">
        <f>_xlfn.XLOOKUP(Table2[[#This Row],[Zone]],Table1[Row],Table1[Max Bay],_xleta.NA,0)</f>
        <v>14</v>
      </c>
      <c r="I329" s="1" t="str">
        <f t="shared" si="25"/>
        <v>11</v>
      </c>
      <c r="J329">
        <f t="shared" si="26"/>
        <v>4</v>
      </c>
      <c r="K329" t="str">
        <f>_xlfn.XLOOKUP(Table2[[#This Row],[Row]],Table1[Row],Table1[StartSide],0)</f>
        <v>R</v>
      </c>
      <c r="L329" t="str">
        <f t="shared" si="27"/>
        <v>R</v>
      </c>
      <c r="M329" t="str">
        <f t="shared" si="28"/>
        <v>PS2_C11_4_R</v>
      </c>
    </row>
    <row r="330" spans="1:13" x14ac:dyDescent="0.25">
      <c r="A330" t="s">
        <v>337</v>
      </c>
      <c r="B330" t="s">
        <v>765</v>
      </c>
      <c r="C330" t="s">
        <v>755</v>
      </c>
      <c r="D330">
        <v>5</v>
      </c>
      <c r="E330" t="s">
        <v>751</v>
      </c>
      <c r="F330" t="s">
        <v>780</v>
      </c>
      <c r="G330" t="str">
        <f t="shared" si="29"/>
        <v>C</v>
      </c>
      <c r="H330">
        <f>_xlfn.XLOOKUP(Table2[[#This Row],[Zone]],Table1[Row],Table1[Max Bay],_xleta.NA,0)</f>
        <v>14</v>
      </c>
      <c r="I330" s="1" t="str">
        <f t="shared" si="25"/>
        <v>11</v>
      </c>
      <c r="J330">
        <f t="shared" si="26"/>
        <v>5</v>
      </c>
      <c r="K330" t="str">
        <f>_xlfn.XLOOKUP(Table2[[#This Row],[Row]],Table1[Row],Table1[StartSide],0)</f>
        <v>R</v>
      </c>
      <c r="L330" t="str">
        <f t="shared" si="27"/>
        <v>L</v>
      </c>
      <c r="M330" t="str">
        <f t="shared" si="28"/>
        <v>PS2_C11_5_L</v>
      </c>
    </row>
    <row r="331" spans="1:13" x14ac:dyDescent="0.25">
      <c r="A331" t="s">
        <v>338</v>
      </c>
      <c r="B331" t="s">
        <v>765</v>
      </c>
      <c r="C331" t="s">
        <v>755</v>
      </c>
      <c r="D331">
        <v>5</v>
      </c>
      <c r="E331" t="s">
        <v>752</v>
      </c>
      <c r="F331" t="s">
        <v>780</v>
      </c>
      <c r="G331" t="str">
        <f t="shared" si="29"/>
        <v>C</v>
      </c>
      <c r="H331">
        <f>_xlfn.XLOOKUP(Table2[[#This Row],[Zone]],Table1[Row],Table1[Max Bay],_xleta.NA,0)</f>
        <v>14</v>
      </c>
      <c r="I331" s="1" t="str">
        <f t="shared" si="25"/>
        <v>11</v>
      </c>
      <c r="J331">
        <f t="shared" si="26"/>
        <v>5</v>
      </c>
      <c r="K331" t="str">
        <f>_xlfn.XLOOKUP(Table2[[#This Row],[Row]],Table1[Row],Table1[StartSide],0)</f>
        <v>R</v>
      </c>
      <c r="L331" t="str">
        <f t="shared" si="27"/>
        <v>R</v>
      </c>
      <c r="M331" t="str">
        <f t="shared" si="28"/>
        <v>PS2_C11_5_R</v>
      </c>
    </row>
    <row r="332" spans="1:13" x14ac:dyDescent="0.25">
      <c r="A332" t="s">
        <v>339</v>
      </c>
      <c r="B332" t="s">
        <v>765</v>
      </c>
      <c r="C332" t="s">
        <v>755</v>
      </c>
      <c r="D332">
        <v>6</v>
      </c>
      <c r="E332" t="s">
        <v>751</v>
      </c>
      <c r="F332" t="s">
        <v>780</v>
      </c>
      <c r="G332" t="str">
        <f t="shared" si="29"/>
        <v>C</v>
      </c>
      <c r="H332">
        <f>_xlfn.XLOOKUP(Table2[[#This Row],[Zone]],Table1[Row],Table1[Max Bay],_xleta.NA,0)</f>
        <v>14</v>
      </c>
      <c r="I332" s="1" t="str">
        <f t="shared" si="25"/>
        <v>11</v>
      </c>
      <c r="J332">
        <f t="shared" si="26"/>
        <v>6</v>
      </c>
      <c r="K332" t="str">
        <f>_xlfn.XLOOKUP(Table2[[#This Row],[Row]],Table1[Row],Table1[StartSide],0)</f>
        <v>R</v>
      </c>
      <c r="L332" t="str">
        <f t="shared" si="27"/>
        <v>L</v>
      </c>
      <c r="M332" t="str">
        <f t="shared" si="28"/>
        <v>PS2_C11_6_L</v>
      </c>
    </row>
    <row r="333" spans="1:13" x14ac:dyDescent="0.25">
      <c r="A333" t="s">
        <v>340</v>
      </c>
      <c r="B333" t="s">
        <v>765</v>
      </c>
      <c r="C333" t="s">
        <v>755</v>
      </c>
      <c r="D333">
        <v>6</v>
      </c>
      <c r="E333" t="s">
        <v>752</v>
      </c>
      <c r="F333" t="s">
        <v>780</v>
      </c>
      <c r="G333" t="str">
        <f t="shared" si="29"/>
        <v>C</v>
      </c>
      <c r="H333">
        <f>_xlfn.XLOOKUP(Table2[[#This Row],[Zone]],Table1[Row],Table1[Max Bay],_xleta.NA,0)</f>
        <v>14</v>
      </c>
      <c r="I333" s="1" t="str">
        <f t="shared" si="25"/>
        <v>11</v>
      </c>
      <c r="J333">
        <f t="shared" si="26"/>
        <v>6</v>
      </c>
      <c r="K333" t="str">
        <f>_xlfn.XLOOKUP(Table2[[#This Row],[Row]],Table1[Row],Table1[StartSide],0)</f>
        <v>R</v>
      </c>
      <c r="L333" t="str">
        <f t="shared" si="27"/>
        <v>R</v>
      </c>
      <c r="M333" t="str">
        <f t="shared" si="28"/>
        <v>PS2_C11_6_R</v>
      </c>
    </row>
    <row r="334" spans="1:13" x14ac:dyDescent="0.25">
      <c r="A334" t="s">
        <v>341</v>
      </c>
      <c r="B334" t="s">
        <v>765</v>
      </c>
      <c r="C334" t="s">
        <v>756</v>
      </c>
      <c r="D334">
        <v>1</v>
      </c>
      <c r="E334" t="s">
        <v>751</v>
      </c>
      <c r="F334" t="s">
        <v>780</v>
      </c>
      <c r="G334" t="str">
        <f t="shared" si="29"/>
        <v>C</v>
      </c>
      <c r="H334">
        <f>_xlfn.XLOOKUP(Table2[[#This Row],[Zone]],Table1[Row],Table1[Max Bay],_xleta.NA,0)</f>
        <v>14</v>
      </c>
      <c r="I334" s="1" t="str">
        <f t="shared" si="25"/>
        <v>10</v>
      </c>
      <c r="J334">
        <f t="shared" si="26"/>
        <v>1</v>
      </c>
      <c r="K334" t="str">
        <f>_xlfn.XLOOKUP(Table2[[#This Row],[Row]],Table1[Row],Table1[StartSide],0)</f>
        <v>R</v>
      </c>
      <c r="L334" t="str">
        <f t="shared" si="27"/>
        <v>L</v>
      </c>
      <c r="M334" t="str">
        <f t="shared" si="28"/>
        <v>PS2_C10_1_L</v>
      </c>
    </row>
    <row r="335" spans="1:13" x14ac:dyDescent="0.25">
      <c r="A335" t="s">
        <v>342</v>
      </c>
      <c r="B335" t="s">
        <v>765</v>
      </c>
      <c r="C335" t="s">
        <v>756</v>
      </c>
      <c r="D335">
        <v>1</v>
      </c>
      <c r="E335" t="s">
        <v>752</v>
      </c>
      <c r="F335" t="s">
        <v>780</v>
      </c>
      <c r="G335" t="str">
        <f t="shared" si="29"/>
        <v>C</v>
      </c>
      <c r="H335">
        <f>_xlfn.XLOOKUP(Table2[[#This Row],[Zone]],Table1[Row],Table1[Max Bay],_xleta.NA,0)</f>
        <v>14</v>
      </c>
      <c r="I335" s="1" t="str">
        <f t="shared" si="25"/>
        <v>10</v>
      </c>
      <c r="J335">
        <f t="shared" si="26"/>
        <v>1</v>
      </c>
      <c r="K335" t="str">
        <f>_xlfn.XLOOKUP(Table2[[#This Row],[Row]],Table1[Row],Table1[StartSide],0)</f>
        <v>R</v>
      </c>
      <c r="L335" t="str">
        <f t="shared" si="27"/>
        <v>R</v>
      </c>
      <c r="M335" t="str">
        <f t="shared" si="28"/>
        <v>PS2_C10_1_R</v>
      </c>
    </row>
    <row r="336" spans="1:13" x14ac:dyDescent="0.25">
      <c r="A336" t="s">
        <v>343</v>
      </c>
      <c r="B336" t="s">
        <v>765</v>
      </c>
      <c r="C336" t="s">
        <v>756</v>
      </c>
      <c r="D336">
        <v>2</v>
      </c>
      <c r="E336" t="s">
        <v>751</v>
      </c>
      <c r="F336" t="s">
        <v>780</v>
      </c>
      <c r="G336" t="str">
        <f t="shared" si="29"/>
        <v>C</v>
      </c>
      <c r="H336">
        <f>_xlfn.XLOOKUP(Table2[[#This Row],[Zone]],Table1[Row],Table1[Max Bay],_xleta.NA,0)</f>
        <v>14</v>
      </c>
      <c r="I336" s="1" t="str">
        <f t="shared" si="25"/>
        <v>10</v>
      </c>
      <c r="J336">
        <f t="shared" si="26"/>
        <v>2</v>
      </c>
      <c r="K336" t="str">
        <f>_xlfn.XLOOKUP(Table2[[#This Row],[Row]],Table1[Row],Table1[StartSide],0)</f>
        <v>R</v>
      </c>
      <c r="L336" t="str">
        <f t="shared" si="27"/>
        <v>L</v>
      </c>
      <c r="M336" t="str">
        <f t="shared" si="28"/>
        <v>PS2_C10_2_L</v>
      </c>
    </row>
    <row r="337" spans="1:13" x14ac:dyDescent="0.25">
      <c r="A337" t="s">
        <v>344</v>
      </c>
      <c r="B337" t="s">
        <v>765</v>
      </c>
      <c r="C337" t="s">
        <v>756</v>
      </c>
      <c r="D337">
        <v>2</v>
      </c>
      <c r="E337" t="s">
        <v>752</v>
      </c>
      <c r="F337" t="s">
        <v>780</v>
      </c>
      <c r="G337" t="str">
        <f t="shared" si="29"/>
        <v>C</v>
      </c>
      <c r="H337">
        <f>_xlfn.XLOOKUP(Table2[[#This Row],[Zone]],Table1[Row],Table1[Max Bay],_xleta.NA,0)</f>
        <v>14</v>
      </c>
      <c r="I337" s="1" t="str">
        <f t="shared" si="25"/>
        <v>10</v>
      </c>
      <c r="J337">
        <f t="shared" si="26"/>
        <v>2</v>
      </c>
      <c r="K337" t="str">
        <f>_xlfn.XLOOKUP(Table2[[#This Row],[Row]],Table1[Row],Table1[StartSide],0)</f>
        <v>R</v>
      </c>
      <c r="L337" t="str">
        <f t="shared" si="27"/>
        <v>R</v>
      </c>
      <c r="M337" t="str">
        <f t="shared" si="28"/>
        <v>PS2_C10_2_R</v>
      </c>
    </row>
    <row r="338" spans="1:13" x14ac:dyDescent="0.25">
      <c r="A338" t="s">
        <v>345</v>
      </c>
      <c r="B338" t="s">
        <v>765</v>
      </c>
      <c r="C338" t="s">
        <v>756</v>
      </c>
      <c r="D338">
        <v>3</v>
      </c>
      <c r="E338" t="s">
        <v>751</v>
      </c>
      <c r="F338" t="s">
        <v>780</v>
      </c>
      <c r="G338" t="str">
        <f t="shared" si="29"/>
        <v>C</v>
      </c>
      <c r="H338">
        <f>_xlfn.XLOOKUP(Table2[[#This Row],[Zone]],Table1[Row],Table1[Max Bay],_xleta.NA,0)</f>
        <v>14</v>
      </c>
      <c r="I338" s="1" t="str">
        <f t="shared" si="25"/>
        <v>10</v>
      </c>
      <c r="J338">
        <f t="shared" si="26"/>
        <v>3</v>
      </c>
      <c r="K338" t="str">
        <f>_xlfn.XLOOKUP(Table2[[#This Row],[Row]],Table1[Row],Table1[StartSide],0)</f>
        <v>R</v>
      </c>
      <c r="L338" t="str">
        <f t="shared" si="27"/>
        <v>L</v>
      </c>
      <c r="M338" t="str">
        <f t="shared" si="28"/>
        <v>PS2_C10_3_L</v>
      </c>
    </row>
    <row r="339" spans="1:13" x14ac:dyDescent="0.25">
      <c r="A339" t="s">
        <v>346</v>
      </c>
      <c r="B339" t="s">
        <v>765</v>
      </c>
      <c r="C339" t="s">
        <v>756</v>
      </c>
      <c r="D339">
        <v>3</v>
      </c>
      <c r="E339" t="s">
        <v>752</v>
      </c>
      <c r="F339" t="s">
        <v>780</v>
      </c>
      <c r="G339" t="str">
        <f t="shared" si="29"/>
        <v>C</v>
      </c>
      <c r="H339">
        <f>_xlfn.XLOOKUP(Table2[[#This Row],[Zone]],Table1[Row],Table1[Max Bay],_xleta.NA,0)</f>
        <v>14</v>
      </c>
      <c r="I339" s="1" t="str">
        <f t="shared" si="25"/>
        <v>10</v>
      </c>
      <c r="J339">
        <f t="shared" si="26"/>
        <v>3</v>
      </c>
      <c r="K339" t="str">
        <f>_xlfn.XLOOKUP(Table2[[#This Row],[Row]],Table1[Row],Table1[StartSide],0)</f>
        <v>R</v>
      </c>
      <c r="L339" t="str">
        <f t="shared" si="27"/>
        <v>R</v>
      </c>
      <c r="M339" t="str">
        <f t="shared" si="28"/>
        <v>PS2_C10_3_R</v>
      </c>
    </row>
    <row r="340" spans="1:13" x14ac:dyDescent="0.25">
      <c r="A340" t="s">
        <v>347</v>
      </c>
      <c r="B340" t="s">
        <v>765</v>
      </c>
      <c r="C340" t="s">
        <v>756</v>
      </c>
      <c r="D340">
        <v>4</v>
      </c>
      <c r="E340" t="s">
        <v>751</v>
      </c>
      <c r="F340" t="s">
        <v>780</v>
      </c>
      <c r="G340" t="str">
        <f t="shared" si="29"/>
        <v>C</v>
      </c>
      <c r="H340">
        <f>_xlfn.XLOOKUP(Table2[[#This Row],[Zone]],Table1[Row],Table1[Max Bay],_xleta.NA,0)</f>
        <v>14</v>
      </c>
      <c r="I340" s="1" t="str">
        <f t="shared" si="25"/>
        <v>10</v>
      </c>
      <c r="J340">
        <f t="shared" si="26"/>
        <v>4</v>
      </c>
      <c r="K340" t="str">
        <f>_xlfn.XLOOKUP(Table2[[#This Row],[Row]],Table1[Row],Table1[StartSide],0)</f>
        <v>R</v>
      </c>
      <c r="L340" t="str">
        <f t="shared" si="27"/>
        <v>L</v>
      </c>
      <c r="M340" t="str">
        <f t="shared" si="28"/>
        <v>PS2_C10_4_L</v>
      </c>
    </row>
    <row r="341" spans="1:13" x14ac:dyDescent="0.25">
      <c r="A341" t="s">
        <v>348</v>
      </c>
      <c r="B341" t="s">
        <v>765</v>
      </c>
      <c r="C341" t="s">
        <v>756</v>
      </c>
      <c r="D341">
        <v>4</v>
      </c>
      <c r="E341" t="s">
        <v>752</v>
      </c>
      <c r="F341" t="s">
        <v>780</v>
      </c>
      <c r="G341" t="str">
        <f t="shared" si="29"/>
        <v>C</v>
      </c>
      <c r="H341">
        <f>_xlfn.XLOOKUP(Table2[[#This Row],[Zone]],Table1[Row],Table1[Max Bay],_xleta.NA,0)</f>
        <v>14</v>
      </c>
      <c r="I341" s="1" t="str">
        <f t="shared" si="25"/>
        <v>10</v>
      </c>
      <c r="J341">
        <f t="shared" si="26"/>
        <v>4</v>
      </c>
      <c r="K341" t="str">
        <f>_xlfn.XLOOKUP(Table2[[#This Row],[Row]],Table1[Row],Table1[StartSide],0)</f>
        <v>R</v>
      </c>
      <c r="L341" t="str">
        <f t="shared" si="27"/>
        <v>R</v>
      </c>
      <c r="M341" t="str">
        <f t="shared" si="28"/>
        <v>PS2_C10_4_R</v>
      </c>
    </row>
    <row r="342" spans="1:13" x14ac:dyDescent="0.25">
      <c r="A342" t="s">
        <v>349</v>
      </c>
      <c r="B342" t="s">
        <v>765</v>
      </c>
      <c r="C342" t="s">
        <v>756</v>
      </c>
      <c r="D342">
        <v>5</v>
      </c>
      <c r="E342" t="s">
        <v>751</v>
      </c>
      <c r="F342" t="s">
        <v>780</v>
      </c>
      <c r="G342" t="str">
        <f t="shared" si="29"/>
        <v>C</v>
      </c>
      <c r="H342">
        <f>_xlfn.XLOOKUP(Table2[[#This Row],[Zone]],Table1[Row],Table1[Max Bay],_xleta.NA,0)</f>
        <v>14</v>
      </c>
      <c r="I342" s="1" t="str">
        <f t="shared" si="25"/>
        <v>10</v>
      </c>
      <c r="J342">
        <f t="shared" si="26"/>
        <v>5</v>
      </c>
      <c r="K342" t="str">
        <f>_xlfn.XLOOKUP(Table2[[#This Row],[Row]],Table1[Row],Table1[StartSide],0)</f>
        <v>R</v>
      </c>
      <c r="L342" t="str">
        <f t="shared" si="27"/>
        <v>L</v>
      </c>
      <c r="M342" t="str">
        <f t="shared" si="28"/>
        <v>PS2_C10_5_L</v>
      </c>
    </row>
    <row r="343" spans="1:13" x14ac:dyDescent="0.25">
      <c r="A343" t="s">
        <v>350</v>
      </c>
      <c r="B343" t="s">
        <v>765</v>
      </c>
      <c r="C343" t="s">
        <v>756</v>
      </c>
      <c r="D343">
        <v>5</v>
      </c>
      <c r="E343" t="s">
        <v>752</v>
      </c>
      <c r="F343" t="s">
        <v>780</v>
      </c>
      <c r="G343" t="str">
        <f t="shared" si="29"/>
        <v>C</v>
      </c>
      <c r="H343">
        <f>_xlfn.XLOOKUP(Table2[[#This Row],[Zone]],Table1[Row],Table1[Max Bay],_xleta.NA,0)</f>
        <v>14</v>
      </c>
      <c r="I343" s="1" t="str">
        <f t="shared" si="25"/>
        <v>10</v>
      </c>
      <c r="J343">
        <f t="shared" si="26"/>
        <v>5</v>
      </c>
      <c r="K343" t="str">
        <f>_xlfn.XLOOKUP(Table2[[#This Row],[Row]],Table1[Row],Table1[StartSide],0)</f>
        <v>R</v>
      </c>
      <c r="L343" t="str">
        <f t="shared" si="27"/>
        <v>R</v>
      </c>
      <c r="M343" t="str">
        <f t="shared" si="28"/>
        <v>PS2_C10_5_R</v>
      </c>
    </row>
    <row r="344" spans="1:13" x14ac:dyDescent="0.25">
      <c r="A344" t="s">
        <v>351</v>
      </c>
      <c r="B344" t="s">
        <v>765</v>
      </c>
      <c r="C344" t="s">
        <v>756</v>
      </c>
      <c r="D344">
        <v>6</v>
      </c>
      <c r="E344" t="s">
        <v>751</v>
      </c>
      <c r="F344" t="s">
        <v>780</v>
      </c>
      <c r="G344" t="str">
        <f t="shared" si="29"/>
        <v>C</v>
      </c>
      <c r="H344">
        <f>_xlfn.XLOOKUP(Table2[[#This Row],[Zone]],Table1[Row],Table1[Max Bay],_xleta.NA,0)</f>
        <v>14</v>
      </c>
      <c r="I344" s="1" t="str">
        <f t="shared" si="25"/>
        <v>10</v>
      </c>
      <c r="J344">
        <f t="shared" si="26"/>
        <v>6</v>
      </c>
      <c r="K344" t="str">
        <f>_xlfn.XLOOKUP(Table2[[#This Row],[Row]],Table1[Row],Table1[StartSide],0)</f>
        <v>R</v>
      </c>
      <c r="L344" t="str">
        <f t="shared" si="27"/>
        <v>L</v>
      </c>
      <c r="M344" t="str">
        <f t="shared" si="28"/>
        <v>PS2_C10_6_L</v>
      </c>
    </row>
    <row r="345" spans="1:13" x14ac:dyDescent="0.25">
      <c r="A345" t="s">
        <v>352</v>
      </c>
      <c r="B345" t="s">
        <v>765</v>
      </c>
      <c r="C345" t="s">
        <v>756</v>
      </c>
      <c r="D345">
        <v>6</v>
      </c>
      <c r="E345" t="s">
        <v>752</v>
      </c>
      <c r="F345" t="s">
        <v>780</v>
      </c>
      <c r="G345" t="str">
        <f t="shared" si="29"/>
        <v>C</v>
      </c>
      <c r="H345">
        <f>_xlfn.XLOOKUP(Table2[[#This Row],[Zone]],Table1[Row],Table1[Max Bay],_xleta.NA,0)</f>
        <v>14</v>
      </c>
      <c r="I345" s="1" t="str">
        <f t="shared" si="25"/>
        <v>10</v>
      </c>
      <c r="J345">
        <f t="shared" si="26"/>
        <v>6</v>
      </c>
      <c r="K345" t="str">
        <f>_xlfn.XLOOKUP(Table2[[#This Row],[Row]],Table1[Row],Table1[StartSide],0)</f>
        <v>R</v>
      </c>
      <c r="L345" t="str">
        <f t="shared" si="27"/>
        <v>R</v>
      </c>
      <c r="M345" t="str">
        <f t="shared" si="28"/>
        <v>PS2_C10_6_R</v>
      </c>
    </row>
    <row r="346" spans="1:13" x14ac:dyDescent="0.25">
      <c r="A346" t="s">
        <v>353</v>
      </c>
      <c r="B346" t="s">
        <v>765</v>
      </c>
      <c r="C346" t="s">
        <v>757</v>
      </c>
      <c r="D346">
        <v>1</v>
      </c>
      <c r="E346" t="s">
        <v>751</v>
      </c>
      <c r="F346" t="s">
        <v>780</v>
      </c>
      <c r="G346" t="str">
        <f t="shared" si="29"/>
        <v>C</v>
      </c>
      <c r="H346">
        <f>_xlfn.XLOOKUP(Table2[[#This Row],[Zone]],Table1[Row],Table1[Max Bay],_xleta.NA,0)</f>
        <v>14</v>
      </c>
      <c r="I346" s="1" t="str">
        <f t="shared" si="25"/>
        <v>09</v>
      </c>
      <c r="J346">
        <f t="shared" si="26"/>
        <v>1</v>
      </c>
      <c r="K346" t="str">
        <f>_xlfn.XLOOKUP(Table2[[#This Row],[Row]],Table1[Row],Table1[StartSide],0)</f>
        <v>R</v>
      </c>
      <c r="L346" t="str">
        <f t="shared" si="27"/>
        <v>L</v>
      </c>
      <c r="M346" t="str">
        <f t="shared" si="28"/>
        <v>PS2_C09_1_L</v>
      </c>
    </row>
    <row r="347" spans="1:13" x14ac:dyDescent="0.25">
      <c r="A347" t="s">
        <v>354</v>
      </c>
      <c r="B347" t="s">
        <v>765</v>
      </c>
      <c r="C347" t="s">
        <v>757</v>
      </c>
      <c r="D347">
        <v>1</v>
      </c>
      <c r="E347" t="s">
        <v>752</v>
      </c>
      <c r="F347" t="s">
        <v>780</v>
      </c>
      <c r="G347" t="str">
        <f t="shared" si="29"/>
        <v>C</v>
      </c>
      <c r="H347">
        <f>_xlfn.XLOOKUP(Table2[[#This Row],[Zone]],Table1[Row],Table1[Max Bay],_xleta.NA,0)</f>
        <v>14</v>
      </c>
      <c r="I347" s="1" t="str">
        <f t="shared" si="25"/>
        <v>09</v>
      </c>
      <c r="J347">
        <f t="shared" si="26"/>
        <v>1</v>
      </c>
      <c r="K347" t="str">
        <f>_xlfn.XLOOKUP(Table2[[#This Row],[Row]],Table1[Row],Table1[StartSide],0)</f>
        <v>R</v>
      </c>
      <c r="L347" t="str">
        <f t="shared" si="27"/>
        <v>R</v>
      </c>
      <c r="M347" t="str">
        <f t="shared" si="28"/>
        <v>PS2_C09_1_R</v>
      </c>
    </row>
    <row r="348" spans="1:13" x14ac:dyDescent="0.25">
      <c r="A348" t="s">
        <v>355</v>
      </c>
      <c r="B348" t="s">
        <v>765</v>
      </c>
      <c r="C348" t="s">
        <v>757</v>
      </c>
      <c r="D348">
        <v>2</v>
      </c>
      <c r="E348" t="s">
        <v>751</v>
      </c>
      <c r="F348" t="s">
        <v>780</v>
      </c>
      <c r="G348" t="str">
        <f t="shared" si="29"/>
        <v>C</v>
      </c>
      <c r="H348">
        <f>_xlfn.XLOOKUP(Table2[[#This Row],[Zone]],Table1[Row],Table1[Max Bay],_xleta.NA,0)</f>
        <v>14</v>
      </c>
      <c r="I348" s="1" t="str">
        <f t="shared" si="25"/>
        <v>09</v>
      </c>
      <c r="J348">
        <f t="shared" si="26"/>
        <v>2</v>
      </c>
      <c r="K348" t="str">
        <f>_xlfn.XLOOKUP(Table2[[#This Row],[Row]],Table1[Row],Table1[StartSide],0)</f>
        <v>R</v>
      </c>
      <c r="L348" t="str">
        <f t="shared" si="27"/>
        <v>L</v>
      </c>
      <c r="M348" t="str">
        <f t="shared" si="28"/>
        <v>PS2_C09_2_L</v>
      </c>
    </row>
    <row r="349" spans="1:13" x14ac:dyDescent="0.25">
      <c r="A349" t="s">
        <v>356</v>
      </c>
      <c r="B349" t="s">
        <v>765</v>
      </c>
      <c r="C349" t="s">
        <v>757</v>
      </c>
      <c r="D349">
        <v>2</v>
      </c>
      <c r="E349" t="s">
        <v>752</v>
      </c>
      <c r="F349" t="s">
        <v>780</v>
      </c>
      <c r="G349" t="str">
        <f t="shared" si="29"/>
        <v>C</v>
      </c>
      <c r="H349">
        <f>_xlfn.XLOOKUP(Table2[[#This Row],[Zone]],Table1[Row],Table1[Max Bay],_xleta.NA,0)</f>
        <v>14</v>
      </c>
      <c r="I349" s="1" t="str">
        <f t="shared" si="25"/>
        <v>09</v>
      </c>
      <c r="J349">
        <f t="shared" si="26"/>
        <v>2</v>
      </c>
      <c r="K349" t="str">
        <f>_xlfn.XLOOKUP(Table2[[#This Row],[Row]],Table1[Row],Table1[StartSide],0)</f>
        <v>R</v>
      </c>
      <c r="L349" t="str">
        <f t="shared" si="27"/>
        <v>R</v>
      </c>
      <c r="M349" t="str">
        <f t="shared" si="28"/>
        <v>PS2_C09_2_R</v>
      </c>
    </row>
    <row r="350" spans="1:13" x14ac:dyDescent="0.25">
      <c r="A350" t="s">
        <v>357</v>
      </c>
      <c r="B350" t="s">
        <v>765</v>
      </c>
      <c r="C350" t="s">
        <v>757</v>
      </c>
      <c r="D350">
        <v>3</v>
      </c>
      <c r="E350" t="s">
        <v>751</v>
      </c>
      <c r="F350" t="s">
        <v>780</v>
      </c>
      <c r="G350" t="str">
        <f t="shared" si="29"/>
        <v>C</v>
      </c>
      <c r="H350">
        <f>_xlfn.XLOOKUP(Table2[[#This Row],[Zone]],Table1[Row],Table1[Max Bay],_xleta.NA,0)</f>
        <v>14</v>
      </c>
      <c r="I350" s="1" t="str">
        <f t="shared" si="25"/>
        <v>09</v>
      </c>
      <c r="J350">
        <f t="shared" si="26"/>
        <v>3</v>
      </c>
      <c r="K350" t="str">
        <f>_xlfn.XLOOKUP(Table2[[#This Row],[Row]],Table1[Row],Table1[StartSide],0)</f>
        <v>R</v>
      </c>
      <c r="L350" t="str">
        <f t="shared" si="27"/>
        <v>L</v>
      </c>
      <c r="M350" t="str">
        <f t="shared" si="28"/>
        <v>PS2_C09_3_L</v>
      </c>
    </row>
    <row r="351" spans="1:13" x14ac:dyDescent="0.25">
      <c r="A351" t="s">
        <v>358</v>
      </c>
      <c r="B351" t="s">
        <v>765</v>
      </c>
      <c r="C351" t="s">
        <v>757</v>
      </c>
      <c r="D351">
        <v>3</v>
      </c>
      <c r="E351" t="s">
        <v>752</v>
      </c>
      <c r="F351" t="s">
        <v>780</v>
      </c>
      <c r="G351" t="str">
        <f t="shared" si="29"/>
        <v>C</v>
      </c>
      <c r="H351">
        <f>_xlfn.XLOOKUP(Table2[[#This Row],[Zone]],Table1[Row],Table1[Max Bay],_xleta.NA,0)</f>
        <v>14</v>
      </c>
      <c r="I351" s="1" t="str">
        <f t="shared" si="25"/>
        <v>09</v>
      </c>
      <c r="J351">
        <f t="shared" si="26"/>
        <v>3</v>
      </c>
      <c r="K351" t="str">
        <f>_xlfn.XLOOKUP(Table2[[#This Row],[Row]],Table1[Row],Table1[StartSide],0)</f>
        <v>R</v>
      </c>
      <c r="L351" t="str">
        <f t="shared" si="27"/>
        <v>R</v>
      </c>
      <c r="M351" t="str">
        <f t="shared" si="28"/>
        <v>PS2_C09_3_R</v>
      </c>
    </row>
    <row r="352" spans="1:13" x14ac:dyDescent="0.25">
      <c r="A352" t="s">
        <v>359</v>
      </c>
      <c r="B352" t="s">
        <v>765</v>
      </c>
      <c r="C352" t="s">
        <v>757</v>
      </c>
      <c r="D352">
        <v>4</v>
      </c>
      <c r="E352" t="s">
        <v>751</v>
      </c>
      <c r="F352" t="s">
        <v>780</v>
      </c>
      <c r="G352" t="str">
        <f t="shared" si="29"/>
        <v>C</v>
      </c>
      <c r="H352">
        <f>_xlfn.XLOOKUP(Table2[[#This Row],[Zone]],Table1[Row],Table1[Max Bay],_xleta.NA,0)</f>
        <v>14</v>
      </c>
      <c r="I352" s="1" t="str">
        <f t="shared" si="25"/>
        <v>09</v>
      </c>
      <c r="J352">
        <f t="shared" si="26"/>
        <v>4</v>
      </c>
      <c r="K352" t="str">
        <f>_xlfn.XLOOKUP(Table2[[#This Row],[Row]],Table1[Row],Table1[StartSide],0)</f>
        <v>R</v>
      </c>
      <c r="L352" t="str">
        <f t="shared" si="27"/>
        <v>L</v>
      </c>
      <c r="M352" t="str">
        <f t="shared" si="28"/>
        <v>PS2_C09_4_L</v>
      </c>
    </row>
    <row r="353" spans="1:13" x14ac:dyDescent="0.25">
      <c r="A353" t="s">
        <v>360</v>
      </c>
      <c r="B353" t="s">
        <v>765</v>
      </c>
      <c r="C353" t="s">
        <v>757</v>
      </c>
      <c r="D353">
        <v>4</v>
      </c>
      <c r="E353" t="s">
        <v>752</v>
      </c>
      <c r="F353" t="s">
        <v>780</v>
      </c>
      <c r="G353" t="str">
        <f t="shared" si="29"/>
        <v>C</v>
      </c>
      <c r="H353">
        <f>_xlfn.XLOOKUP(Table2[[#This Row],[Zone]],Table1[Row],Table1[Max Bay],_xleta.NA,0)</f>
        <v>14</v>
      </c>
      <c r="I353" s="1" t="str">
        <f t="shared" si="25"/>
        <v>09</v>
      </c>
      <c r="J353">
        <f t="shared" si="26"/>
        <v>4</v>
      </c>
      <c r="K353" t="str">
        <f>_xlfn.XLOOKUP(Table2[[#This Row],[Row]],Table1[Row],Table1[StartSide],0)</f>
        <v>R</v>
      </c>
      <c r="L353" t="str">
        <f t="shared" si="27"/>
        <v>R</v>
      </c>
      <c r="M353" t="str">
        <f t="shared" si="28"/>
        <v>PS2_C09_4_R</v>
      </c>
    </row>
    <row r="354" spans="1:13" x14ac:dyDescent="0.25">
      <c r="A354" t="s">
        <v>361</v>
      </c>
      <c r="B354" t="s">
        <v>765</v>
      </c>
      <c r="C354" t="s">
        <v>757</v>
      </c>
      <c r="D354">
        <v>5</v>
      </c>
      <c r="E354" t="s">
        <v>751</v>
      </c>
      <c r="F354" t="s">
        <v>780</v>
      </c>
      <c r="G354" t="str">
        <f t="shared" si="29"/>
        <v>C</v>
      </c>
      <c r="H354">
        <f>_xlfn.XLOOKUP(Table2[[#This Row],[Zone]],Table1[Row],Table1[Max Bay],_xleta.NA,0)</f>
        <v>14</v>
      </c>
      <c r="I354" s="1" t="str">
        <f t="shared" si="25"/>
        <v>09</v>
      </c>
      <c r="J354">
        <f t="shared" si="26"/>
        <v>5</v>
      </c>
      <c r="K354" t="str">
        <f>_xlfn.XLOOKUP(Table2[[#This Row],[Row]],Table1[Row],Table1[StartSide],0)</f>
        <v>R</v>
      </c>
      <c r="L354" t="str">
        <f t="shared" si="27"/>
        <v>L</v>
      </c>
      <c r="M354" t="str">
        <f t="shared" si="28"/>
        <v>PS2_C09_5_L</v>
      </c>
    </row>
    <row r="355" spans="1:13" x14ac:dyDescent="0.25">
      <c r="A355" t="s">
        <v>362</v>
      </c>
      <c r="B355" t="s">
        <v>765</v>
      </c>
      <c r="C355" t="s">
        <v>757</v>
      </c>
      <c r="D355">
        <v>5</v>
      </c>
      <c r="E355" t="s">
        <v>752</v>
      </c>
      <c r="F355" t="s">
        <v>780</v>
      </c>
      <c r="G355" t="str">
        <f t="shared" si="29"/>
        <v>C</v>
      </c>
      <c r="H355">
        <f>_xlfn.XLOOKUP(Table2[[#This Row],[Zone]],Table1[Row],Table1[Max Bay],_xleta.NA,0)</f>
        <v>14</v>
      </c>
      <c r="I355" s="1" t="str">
        <f t="shared" si="25"/>
        <v>09</v>
      </c>
      <c r="J355">
        <f t="shared" si="26"/>
        <v>5</v>
      </c>
      <c r="K355" t="str">
        <f>_xlfn.XLOOKUP(Table2[[#This Row],[Row]],Table1[Row],Table1[StartSide],0)</f>
        <v>R</v>
      </c>
      <c r="L355" t="str">
        <f t="shared" si="27"/>
        <v>R</v>
      </c>
      <c r="M355" t="str">
        <f t="shared" si="28"/>
        <v>PS2_C09_5_R</v>
      </c>
    </row>
    <row r="356" spans="1:13" x14ac:dyDescent="0.25">
      <c r="A356" t="s">
        <v>363</v>
      </c>
      <c r="B356" t="s">
        <v>765</v>
      </c>
      <c r="C356" t="s">
        <v>757</v>
      </c>
      <c r="D356">
        <v>6</v>
      </c>
      <c r="E356" t="s">
        <v>751</v>
      </c>
      <c r="F356" t="s">
        <v>780</v>
      </c>
      <c r="G356" t="str">
        <f t="shared" si="29"/>
        <v>C</v>
      </c>
      <c r="H356">
        <f>_xlfn.XLOOKUP(Table2[[#This Row],[Zone]],Table1[Row],Table1[Max Bay],_xleta.NA,0)</f>
        <v>14</v>
      </c>
      <c r="I356" s="1" t="str">
        <f t="shared" si="25"/>
        <v>09</v>
      </c>
      <c r="J356">
        <f t="shared" si="26"/>
        <v>6</v>
      </c>
      <c r="K356" t="str">
        <f>_xlfn.XLOOKUP(Table2[[#This Row],[Row]],Table1[Row],Table1[StartSide],0)</f>
        <v>R</v>
      </c>
      <c r="L356" t="str">
        <f t="shared" si="27"/>
        <v>L</v>
      </c>
      <c r="M356" t="str">
        <f t="shared" si="28"/>
        <v>PS2_C09_6_L</v>
      </c>
    </row>
    <row r="357" spans="1:13" x14ac:dyDescent="0.25">
      <c r="A357" t="s">
        <v>364</v>
      </c>
      <c r="B357" t="s">
        <v>765</v>
      </c>
      <c r="C357" t="s">
        <v>757</v>
      </c>
      <c r="D357">
        <v>6</v>
      </c>
      <c r="E357" t="s">
        <v>752</v>
      </c>
      <c r="F357" t="s">
        <v>780</v>
      </c>
      <c r="G357" t="str">
        <f t="shared" si="29"/>
        <v>C</v>
      </c>
      <c r="H357">
        <f>_xlfn.XLOOKUP(Table2[[#This Row],[Zone]],Table1[Row],Table1[Max Bay],_xleta.NA,0)</f>
        <v>14</v>
      </c>
      <c r="I357" s="1" t="str">
        <f t="shared" si="25"/>
        <v>09</v>
      </c>
      <c r="J357">
        <f t="shared" si="26"/>
        <v>6</v>
      </c>
      <c r="K357" t="str">
        <f>_xlfn.XLOOKUP(Table2[[#This Row],[Row]],Table1[Row],Table1[StartSide],0)</f>
        <v>R</v>
      </c>
      <c r="L357" t="str">
        <f t="shared" si="27"/>
        <v>R</v>
      </c>
      <c r="M357" t="str">
        <f t="shared" si="28"/>
        <v>PS2_C09_6_R</v>
      </c>
    </row>
    <row r="358" spans="1:13" x14ac:dyDescent="0.25">
      <c r="A358" t="s">
        <v>365</v>
      </c>
      <c r="B358" t="s">
        <v>765</v>
      </c>
      <c r="C358" t="s">
        <v>758</v>
      </c>
      <c r="D358">
        <v>1</v>
      </c>
      <c r="E358" t="s">
        <v>751</v>
      </c>
      <c r="F358" t="s">
        <v>780</v>
      </c>
      <c r="G358" t="str">
        <f t="shared" si="29"/>
        <v>C</v>
      </c>
      <c r="H358">
        <f>_xlfn.XLOOKUP(Table2[[#This Row],[Zone]],Table1[Row],Table1[Max Bay],_xleta.NA,0)</f>
        <v>14</v>
      </c>
      <c r="I358" s="1" t="str">
        <f t="shared" si="25"/>
        <v>08</v>
      </c>
      <c r="J358">
        <f t="shared" si="26"/>
        <v>1</v>
      </c>
      <c r="K358" t="str">
        <f>_xlfn.XLOOKUP(Table2[[#This Row],[Row]],Table1[Row],Table1[StartSide],0)</f>
        <v>R</v>
      </c>
      <c r="L358" t="str">
        <f t="shared" si="27"/>
        <v>L</v>
      </c>
      <c r="M358" t="str">
        <f t="shared" si="28"/>
        <v>PS2_C08_1_L</v>
      </c>
    </row>
    <row r="359" spans="1:13" x14ac:dyDescent="0.25">
      <c r="A359" t="s">
        <v>366</v>
      </c>
      <c r="B359" t="s">
        <v>765</v>
      </c>
      <c r="C359" t="s">
        <v>758</v>
      </c>
      <c r="D359">
        <v>1</v>
      </c>
      <c r="E359" t="s">
        <v>752</v>
      </c>
      <c r="F359" t="s">
        <v>780</v>
      </c>
      <c r="G359" t="str">
        <f t="shared" si="29"/>
        <v>C</v>
      </c>
      <c r="H359">
        <f>_xlfn.XLOOKUP(Table2[[#This Row],[Zone]],Table1[Row],Table1[Max Bay],_xleta.NA,0)</f>
        <v>14</v>
      </c>
      <c r="I359" s="1" t="str">
        <f t="shared" si="25"/>
        <v>08</v>
      </c>
      <c r="J359">
        <f t="shared" si="26"/>
        <v>1</v>
      </c>
      <c r="K359" t="str">
        <f>_xlfn.XLOOKUP(Table2[[#This Row],[Row]],Table1[Row],Table1[StartSide],0)</f>
        <v>R</v>
      </c>
      <c r="L359" t="str">
        <f t="shared" si="27"/>
        <v>R</v>
      </c>
      <c r="M359" t="str">
        <f t="shared" si="28"/>
        <v>PS2_C08_1_R</v>
      </c>
    </row>
    <row r="360" spans="1:13" x14ac:dyDescent="0.25">
      <c r="A360" t="s">
        <v>367</v>
      </c>
      <c r="B360" t="s">
        <v>765</v>
      </c>
      <c r="C360" t="s">
        <v>758</v>
      </c>
      <c r="D360">
        <v>2</v>
      </c>
      <c r="E360" t="s">
        <v>751</v>
      </c>
      <c r="F360" t="s">
        <v>780</v>
      </c>
      <c r="G360" t="str">
        <f t="shared" si="29"/>
        <v>C</v>
      </c>
      <c r="H360">
        <f>_xlfn.XLOOKUP(Table2[[#This Row],[Zone]],Table1[Row],Table1[Max Bay],_xleta.NA,0)</f>
        <v>14</v>
      </c>
      <c r="I360" s="1" t="str">
        <f t="shared" si="25"/>
        <v>08</v>
      </c>
      <c r="J360">
        <f t="shared" si="26"/>
        <v>2</v>
      </c>
      <c r="K360" t="str">
        <f>_xlfn.XLOOKUP(Table2[[#This Row],[Row]],Table1[Row],Table1[StartSide],0)</f>
        <v>R</v>
      </c>
      <c r="L360" t="str">
        <f t="shared" si="27"/>
        <v>L</v>
      </c>
      <c r="M360" t="str">
        <f t="shared" si="28"/>
        <v>PS2_C08_2_L</v>
      </c>
    </row>
    <row r="361" spans="1:13" x14ac:dyDescent="0.25">
      <c r="A361" t="s">
        <v>368</v>
      </c>
      <c r="B361" t="s">
        <v>765</v>
      </c>
      <c r="C361" t="s">
        <v>758</v>
      </c>
      <c r="D361">
        <v>2</v>
      </c>
      <c r="E361" t="s">
        <v>752</v>
      </c>
      <c r="F361" t="s">
        <v>780</v>
      </c>
      <c r="G361" t="str">
        <f t="shared" si="29"/>
        <v>C</v>
      </c>
      <c r="H361">
        <f>_xlfn.XLOOKUP(Table2[[#This Row],[Zone]],Table1[Row],Table1[Max Bay],_xleta.NA,0)</f>
        <v>14</v>
      </c>
      <c r="I361" s="1" t="str">
        <f t="shared" si="25"/>
        <v>08</v>
      </c>
      <c r="J361">
        <f t="shared" si="26"/>
        <v>2</v>
      </c>
      <c r="K361" t="str">
        <f>_xlfn.XLOOKUP(Table2[[#This Row],[Row]],Table1[Row],Table1[StartSide],0)</f>
        <v>R</v>
      </c>
      <c r="L361" t="str">
        <f t="shared" si="27"/>
        <v>R</v>
      </c>
      <c r="M361" t="str">
        <f t="shared" si="28"/>
        <v>PS2_C08_2_R</v>
      </c>
    </row>
    <row r="362" spans="1:13" x14ac:dyDescent="0.25">
      <c r="A362" t="s">
        <v>369</v>
      </c>
      <c r="B362" t="s">
        <v>765</v>
      </c>
      <c r="C362" t="s">
        <v>758</v>
      </c>
      <c r="D362">
        <v>3</v>
      </c>
      <c r="E362" t="s">
        <v>751</v>
      </c>
      <c r="F362" t="s">
        <v>780</v>
      </c>
      <c r="G362" t="str">
        <f t="shared" si="29"/>
        <v>C</v>
      </c>
      <c r="H362">
        <f>_xlfn.XLOOKUP(Table2[[#This Row],[Zone]],Table1[Row],Table1[Max Bay],_xleta.NA,0)</f>
        <v>14</v>
      </c>
      <c r="I362" s="1" t="str">
        <f t="shared" si="25"/>
        <v>08</v>
      </c>
      <c r="J362">
        <f t="shared" si="26"/>
        <v>3</v>
      </c>
      <c r="K362" t="str">
        <f>_xlfn.XLOOKUP(Table2[[#This Row],[Row]],Table1[Row],Table1[StartSide],0)</f>
        <v>R</v>
      </c>
      <c r="L362" t="str">
        <f t="shared" si="27"/>
        <v>L</v>
      </c>
      <c r="M362" t="str">
        <f t="shared" si="28"/>
        <v>PS2_C08_3_L</v>
      </c>
    </row>
    <row r="363" spans="1:13" x14ac:dyDescent="0.25">
      <c r="A363" t="s">
        <v>370</v>
      </c>
      <c r="B363" t="s">
        <v>765</v>
      </c>
      <c r="C363" t="s">
        <v>758</v>
      </c>
      <c r="D363">
        <v>3</v>
      </c>
      <c r="E363" t="s">
        <v>752</v>
      </c>
      <c r="F363" t="s">
        <v>780</v>
      </c>
      <c r="G363" t="str">
        <f t="shared" si="29"/>
        <v>C</v>
      </c>
      <c r="H363">
        <f>_xlfn.XLOOKUP(Table2[[#This Row],[Zone]],Table1[Row],Table1[Max Bay],_xleta.NA,0)</f>
        <v>14</v>
      </c>
      <c r="I363" s="1" t="str">
        <f t="shared" si="25"/>
        <v>08</v>
      </c>
      <c r="J363">
        <f t="shared" si="26"/>
        <v>3</v>
      </c>
      <c r="K363" t="str">
        <f>_xlfn.XLOOKUP(Table2[[#This Row],[Row]],Table1[Row],Table1[StartSide],0)</f>
        <v>R</v>
      </c>
      <c r="L363" t="str">
        <f t="shared" si="27"/>
        <v>R</v>
      </c>
      <c r="M363" t="str">
        <f t="shared" si="28"/>
        <v>PS2_C08_3_R</v>
      </c>
    </row>
    <row r="364" spans="1:13" x14ac:dyDescent="0.25">
      <c r="A364" t="s">
        <v>371</v>
      </c>
      <c r="B364" t="s">
        <v>765</v>
      </c>
      <c r="C364" t="s">
        <v>758</v>
      </c>
      <c r="D364">
        <v>4</v>
      </c>
      <c r="E364" t="s">
        <v>751</v>
      </c>
      <c r="F364" t="s">
        <v>780</v>
      </c>
      <c r="G364" t="str">
        <f t="shared" si="29"/>
        <v>C</v>
      </c>
      <c r="H364">
        <f>_xlfn.XLOOKUP(Table2[[#This Row],[Zone]],Table1[Row],Table1[Max Bay],_xleta.NA,0)</f>
        <v>14</v>
      </c>
      <c r="I364" s="1" t="str">
        <f t="shared" si="25"/>
        <v>08</v>
      </c>
      <c r="J364">
        <f t="shared" si="26"/>
        <v>4</v>
      </c>
      <c r="K364" t="str">
        <f>_xlfn.XLOOKUP(Table2[[#This Row],[Row]],Table1[Row],Table1[StartSide],0)</f>
        <v>R</v>
      </c>
      <c r="L364" t="str">
        <f t="shared" si="27"/>
        <v>L</v>
      </c>
      <c r="M364" t="str">
        <f t="shared" si="28"/>
        <v>PS2_C08_4_L</v>
      </c>
    </row>
    <row r="365" spans="1:13" x14ac:dyDescent="0.25">
      <c r="A365" t="s">
        <v>372</v>
      </c>
      <c r="B365" t="s">
        <v>765</v>
      </c>
      <c r="C365" t="s">
        <v>758</v>
      </c>
      <c r="D365">
        <v>4</v>
      </c>
      <c r="E365" t="s">
        <v>752</v>
      </c>
      <c r="F365" t="s">
        <v>780</v>
      </c>
      <c r="G365" t="str">
        <f t="shared" si="29"/>
        <v>C</v>
      </c>
      <c r="H365">
        <f>_xlfn.XLOOKUP(Table2[[#This Row],[Zone]],Table1[Row],Table1[Max Bay],_xleta.NA,0)</f>
        <v>14</v>
      </c>
      <c r="I365" s="1" t="str">
        <f t="shared" si="25"/>
        <v>08</v>
      </c>
      <c r="J365">
        <f t="shared" si="26"/>
        <v>4</v>
      </c>
      <c r="K365" t="str">
        <f>_xlfn.XLOOKUP(Table2[[#This Row],[Row]],Table1[Row],Table1[StartSide],0)</f>
        <v>R</v>
      </c>
      <c r="L365" t="str">
        <f t="shared" si="27"/>
        <v>R</v>
      </c>
      <c r="M365" t="str">
        <f t="shared" si="28"/>
        <v>PS2_C08_4_R</v>
      </c>
    </row>
    <row r="366" spans="1:13" x14ac:dyDescent="0.25">
      <c r="A366" t="s">
        <v>373</v>
      </c>
      <c r="B366" t="s">
        <v>765</v>
      </c>
      <c r="C366" t="s">
        <v>758</v>
      </c>
      <c r="D366">
        <v>5</v>
      </c>
      <c r="E366" t="s">
        <v>751</v>
      </c>
      <c r="F366" t="s">
        <v>780</v>
      </c>
      <c r="G366" t="str">
        <f t="shared" si="29"/>
        <v>C</v>
      </c>
      <c r="H366">
        <f>_xlfn.XLOOKUP(Table2[[#This Row],[Zone]],Table1[Row],Table1[Max Bay],_xleta.NA,0)</f>
        <v>14</v>
      </c>
      <c r="I366" s="1" t="str">
        <f t="shared" si="25"/>
        <v>08</v>
      </c>
      <c r="J366">
        <f t="shared" si="26"/>
        <v>5</v>
      </c>
      <c r="K366" t="str">
        <f>_xlfn.XLOOKUP(Table2[[#This Row],[Row]],Table1[Row],Table1[StartSide],0)</f>
        <v>R</v>
      </c>
      <c r="L366" t="str">
        <f t="shared" si="27"/>
        <v>L</v>
      </c>
      <c r="M366" t="str">
        <f t="shared" si="28"/>
        <v>PS2_C08_5_L</v>
      </c>
    </row>
    <row r="367" spans="1:13" x14ac:dyDescent="0.25">
      <c r="A367" t="s">
        <v>374</v>
      </c>
      <c r="B367" t="s">
        <v>765</v>
      </c>
      <c r="C367" t="s">
        <v>758</v>
      </c>
      <c r="D367">
        <v>5</v>
      </c>
      <c r="E367" t="s">
        <v>752</v>
      </c>
      <c r="F367" t="s">
        <v>780</v>
      </c>
      <c r="G367" t="str">
        <f t="shared" si="29"/>
        <v>C</v>
      </c>
      <c r="H367">
        <f>_xlfn.XLOOKUP(Table2[[#This Row],[Zone]],Table1[Row],Table1[Max Bay],_xleta.NA,0)</f>
        <v>14</v>
      </c>
      <c r="I367" s="1" t="str">
        <f t="shared" si="25"/>
        <v>08</v>
      </c>
      <c r="J367">
        <f t="shared" si="26"/>
        <v>5</v>
      </c>
      <c r="K367" t="str">
        <f>_xlfn.XLOOKUP(Table2[[#This Row],[Row]],Table1[Row],Table1[StartSide],0)</f>
        <v>R</v>
      </c>
      <c r="L367" t="str">
        <f t="shared" si="27"/>
        <v>R</v>
      </c>
      <c r="M367" t="str">
        <f t="shared" si="28"/>
        <v>PS2_C08_5_R</v>
      </c>
    </row>
    <row r="368" spans="1:13" x14ac:dyDescent="0.25">
      <c r="A368" t="s">
        <v>375</v>
      </c>
      <c r="B368" t="s">
        <v>765</v>
      </c>
      <c r="C368" t="s">
        <v>758</v>
      </c>
      <c r="D368">
        <v>6</v>
      </c>
      <c r="E368" t="s">
        <v>751</v>
      </c>
      <c r="F368" t="s">
        <v>780</v>
      </c>
      <c r="G368" t="str">
        <f t="shared" si="29"/>
        <v>C</v>
      </c>
      <c r="H368">
        <f>_xlfn.XLOOKUP(Table2[[#This Row],[Zone]],Table1[Row],Table1[Max Bay],_xleta.NA,0)</f>
        <v>14</v>
      </c>
      <c r="I368" s="1" t="str">
        <f t="shared" si="25"/>
        <v>08</v>
      </c>
      <c r="J368">
        <f t="shared" si="26"/>
        <v>6</v>
      </c>
      <c r="K368" t="str">
        <f>_xlfn.XLOOKUP(Table2[[#This Row],[Row]],Table1[Row],Table1[StartSide],0)</f>
        <v>R</v>
      </c>
      <c r="L368" t="str">
        <f t="shared" si="27"/>
        <v>L</v>
      </c>
      <c r="M368" t="str">
        <f t="shared" si="28"/>
        <v>PS2_C08_6_L</v>
      </c>
    </row>
    <row r="369" spans="1:13" x14ac:dyDescent="0.25">
      <c r="A369" t="s">
        <v>376</v>
      </c>
      <c r="B369" t="s">
        <v>765</v>
      </c>
      <c r="C369" t="s">
        <v>758</v>
      </c>
      <c r="D369">
        <v>6</v>
      </c>
      <c r="E369" t="s">
        <v>752</v>
      </c>
      <c r="F369" t="s">
        <v>780</v>
      </c>
      <c r="G369" t="str">
        <f t="shared" si="29"/>
        <v>C</v>
      </c>
      <c r="H369">
        <f>_xlfn.XLOOKUP(Table2[[#This Row],[Zone]],Table1[Row],Table1[Max Bay],_xleta.NA,0)</f>
        <v>14</v>
      </c>
      <c r="I369" s="1" t="str">
        <f t="shared" si="25"/>
        <v>08</v>
      </c>
      <c r="J369">
        <f t="shared" si="26"/>
        <v>6</v>
      </c>
      <c r="K369" t="str">
        <f>_xlfn.XLOOKUP(Table2[[#This Row],[Row]],Table1[Row],Table1[StartSide],0)</f>
        <v>R</v>
      </c>
      <c r="L369" t="str">
        <f t="shared" si="27"/>
        <v>R</v>
      </c>
      <c r="M369" t="str">
        <f t="shared" si="28"/>
        <v>PS2_C08_6_R</v>
      </c>
    </row>
    <row r="370" spans="1:13" x14ac:dyDescent="0.25">
      <c r="A370" t="s">
        <v>377</v>
      </c>
      <c r="B370" t="s">
        <v>765</v>
      </c>
      <c r="C370" t="s">
        <v>759</v>
      </c>
      <c r="D370">
        <v>1</v>
      </c>
      <c r="E370" t="s">
        <v>751</v>
      </c>
      <c r="F370" t="s">
        <v>780</v>
      </c>
      <c r="G370" t="str">
        <f t="shared" si="29"/>
        <v>C</v>
      </c>
      <c r="H370">
        <f>_xlfn.XLOOKUP(Table2[[#This Row],[Zone]],Table1[Row],Table1[Max Bay],_xleta.NA,0)</f>
        <v>14</v>
      </c>
      <c r="I370" s="1" t="str">
        <f t="shared" si="25"/>
        <v>07</v>
      </c>
      <c r="J370">
        <f t="shared" si="26"/>
        <v>1</v>
      </c>
      <c r="K370" t="str">
        <f>_xlfn.XLOOKUP(Table2[[#This Row],[Row]],Table1[Row],Table1[StartSide],0)</f>
        <v>R</v>
      </c>
      <c r="L370" t="str">
        <f t="shared" si="27"/>
        <v>L</v>
      </c>
      <c r="M370" t="str">
        <f t="shared" si="28"/>
        <v>PS2_C07_1_L</v>
      </c>
    </row>
    <row r="371" spans="1:13" x14ac:dyDescent="0.25">
      <c r="A371" t="s">
        <v>378</v>
      </c>
      <c r="B371" t="s">
        <v>765</v>
      </c>
      <c r="C371" t="s">
        <v>759</v>
      </c>
      <c r="D371">
        <v>1</v>
      </c>
      <c r="E371" t="s">
        <v>752</v>
      </c>
      <c r="F371" t="s">
        <v>780</v>
      </c>
      <c r="G371" t="str">
        <f t="shared" si="29"/>
        <v>C</v>
      </c>
      <c r="H371">
        <f>_xlfn.XLOOKUP(Table2[[#This Row],[Zone]],Table1[Row],Table1[Max Bay],_xleta.NA,0)</f>
        <v>14</v>
      </c>
      <c r="I371" s="1" t="str">
        <f t="shared" si="25"/>
        <v>07</v>
      </c>
      <c r="J371">
        <f t="shared" si="26"/>
        <v>1</v>
      </c>
      <c r="K371" t="str">
        <f>_xlfn.XLOOKUP(Table2[[#This Row],[Row]],Table1[Row],Table1[StartSide],0)</f>
        <v>R</v>
      </c>
      <c r="L371" t="str">
        <f t="shared" si="27"/>
        <v>R</v>
      </c>
      <c r="M371" t="str">
        <f t="shared" si="28"/>
        <v>PS2_C07_1_R</v>
      </c>
    </row>
    <row r="372" spans="1:13" x14ac:dyDescent="0.25">
      <c r="A372" t="s">
        <v>379</v>
      </c>
      <c r="B372" t="s">
        <v>765</v>
      </c>
      <c r="C372" t="s">
        <v>759</v>
      </c>
      <c r="D372">
        <v>2</v>
      </c>
      <c r="E372" t="s">
        <v>751</v>
      </c>
      <c r="F372" t="s">
        <v>780</v>
      </c>
      <c r="G372" t="str">
        <f t="shared" si="29"/>
        <v>C</v>
      </c>
      <c r="H372">
        <f>_xlfn.XLOOKUP(Table2[[#This Row],[Zone]],Table1[Row],Table1[Max Bay],_xleta.NA,0)</f>
        <v>14</v>
      </c>
      <c r="I372" s="1" t="str">
        <f t="shared" si="25"/>
        <v>07</v>
      </c>
      <c r="J372">
        <f t="shared" si="26"/>
        <v>2</v>
      </c>
      <c r="K372" t="str">
        <f>_xlfn.XLOOKUP(Table2[[#This Row],[Row]],Table1[Row],Table1[StartSide],0)</f>
        <v>R</v>
      </c>
      <c r="L372" t="str">
        <f t="shared" si="27"/>
        <v>L</v>
      </c>
      <c r="M372" t="str">
        <f t="shared" si="28"/>
        <v>PS2_C07_2_L</v>
      </c>
    </row>
    <row r="373" spans="1:13" x14ac:dyDescent="0.25">
      <c r="A373" t="s">
        <v>380</v>
      </c>
      <c r="B373" t="s">
        <v>765</v>
      </c>
      <c r="C373" t="s">
        <v>759</v>
      </c>
      <c r="D373">
        <v>2</v>
      </c>
      <c r="E373" t="s">
        <v>752</v>
      </c>
      <c r="F373" t="s">
        <v>780</v>
      </c>
      <c r="G373" t="str">
        <f t="shared" si="29"/>
        <v>C</v>
      </c>
      <c r="H373">
        <f>_xlfn.XLOOKUP(Table2[[#This Row],[Zone]],Table1[Row],Table1[Max Bay],_xleta.NA,0)</f>
        <v>14</v>
      </c>
      <c r="I373" s="1" t="str">
        <f t="shared" si="25"/>
        <v>07</v>
      </c>
      <c r="J373">
        <f t="shared" si="26"/>
        <v>2</v>
      </c>
      <c r="K373" t="str">
        <f>_xlfn.XLOOKUP(Table2[[#This Row],[Row]],Table1[Row],Table1[StartSide],0)</f>
        <v>R</v>
      </c>
      <c r="L373" t="str">
        <f t="shared" si="27"/>
        <v>R</v>
      </c>
      <c r="M373" t="str">
        <f t="shared" si="28"/>
        <v>PS2_C07_2_R</v>
      </c>
    </row>
    <row r="374" spans="1:13" x14ac:dyDescent="0.25">
      <c r="A374" t="s">
        <v>381</v>
      </c>
      <c r="B374" t="s">
        <v>765</v>
      </c>
      <c r="C374" t="s">
        <v>759</v>
      </c>
      <c r="D374">
        <v>3</v>
      </c>
      <c r="E374" t="s">
        <v>751</v>
      </c>
      <c r="F374" t="s">
        <v>780</v>
      </c>
      <c r="G374" t="str">
        <f t="shared" si="29"/>
        <v>C</v>
      </c>
      <c r="H374">
        <f>_xlfn.XLOOKUP(Table2[[#This Row],[Zone]],Table1[Row],Table1[Max Bay],_xleta.NA,0)</f>
        <v>14</v>
      </c>
      <c r="I374" s="1" t="str">
        <f t="shared" si="25"/>
        <v>07</v>
      </c>
      <c r="J374">
        <f t="shared" si="26"/>
        <v>3</v>
      </c>
      <c r="K374" t="str">
        <f>_xlfn.XLOOKUP(Table2[[#This Row],[Row]],Table1[Row],Table1[StartSide],0)</f>
        <v>R</v>
      </c>
      <c r="L374" t="str">
        <f t="shared" si="27"/>
        <v>L</v>
      </c>
      <c r="M374" t="str">
        <f t="shared" si="28"/>
        <v>PS2_C07_3_L</v>
      </c>
    </row>
    <row r="375" spans="1:13" x14ac:dyDescent="0.25">
      <c r="A375" t="s">
        <v>382</v>
      </c>
      <c r="B375" t="s">
        <v>765</v>
      </c>
      <c r="C375" t="s">
        <v>759</v>
      </c>
      <c r="D375">
        <v>3</v>
      </c>
      <c r="E375" t="s">
        <v>752</v>
      </c>
      <c r="F375" t="s">
        <v>780</v>
      </c>
      <c r="G375" t="str">
        <f t="shared" si="29"/>
        <v>C</v>
      </c>
      <c r="H375">
        <f>_xlfn.XLOOKUP(Table2[[#This Row],[Zone]],Table1[Row],Table1[Max Bay],_xleta.NA,0)</f>
        <v>14</v>
      </c>
      <c r="I375" s="1" t="str">
        <f t="shared" si="25"/>
        <v>07</v>
      </c>
      <c r="J375">
        <f t="shared" si="26"/>
        <v>3</v>
      </c>
      <c r="K375" t="str">
        <f>_xlfn.XLOOKUP(Table2[[#This Row],[Row]],Table1[Row],Table1[StartSide],0)</f>
        <v>R</v>
      </c>
      <c r="L375" t="str">
        <f t="shared" si="27"/>
        <v>R</v>
      </c>
      <c r="M375" t="str">
        <f t="shared" si="28"/>
        <v>PS2_C07_3_R</v>
      </c>
    </row>
    <row r="376" spans="1:13" x14ac:dyDescent="0.25">
      <c r="A376" t="s">
        <v>383</v>
      </c>
      <c r="B376" t="s">
        <v>765</v>
      </c>
      <c r="C376" t="s">
        <v>759</v>
      </c>
      <c r="D376">
        <v>4</v>
      </c>
      <c r="E376" t="s">
        <v>751</v>
      </c>
      <c r="F376" t="s">
        <v>780</v>
      </c>
      <c r="G376" t="str">
        <f t="shared" si="29"/>
        <v>C</v>
      </c>
      <c r="H376">
        <f>_xlfn.XLOOKUP(Table2[[#This Row],[Zone]],Table1[Row],Table1[Max Bay],_xleta.NA,0)</f>
        <v>14</v>
      </c>
      <c r="I376" s="1" t="str">
        <f t="shared" si="25"/>
        <v>07</v>
      </c>
      <c r="J376">
        <f t="shared" si="26"/>
        <v>4</v>
      </c>
      <c r="K376" t="str">
        <f>_xlfn.XLOOKUP(Table2[[#This Row],[Row]],Table1[Row],Table1[StartSide],0)</f>
        <v>R</v>
      </c>
      <c r="L376" t="str">
        <f t="shared" si="27"/>
        <v>L</v>
      </c>
      <c r="M376" t="str">
        <f t="shared" si="28"/>
        <v>PS2_C07_4_L</v>
      </c>
    </row>
    <row r="377" spans="1:13" x14ac:dyDescent="0.25">
      <c r="A377" t="s">
        <v>384</v>
      </c>
      <c r="B377" t="s">
        <v>765</v>
      </c>
      <c r="C377" t="s">
        <v>759</v>
      </c>
      <c r="D377">
        <v>4</v>
      </c>
      <c r="E377" t="s">
        <v>752</v>
      </c>
      <c r="F377" t="s">
        <v>780</v>
      </c>
      <c r="G377" t="str">
        <f t="shared" si="29"/>
        <v>C</v>
      </c>
      <c r="H377">
        <f>_xlfn.XLOOKUP(Table2[[#This Row],[Zone]],Table1[Row],Table1[Max Bay],_xleta.NA,0)</f>
        <v>14</v>
      </c>
      <c r="I377" s="1" t="str">
        <f t="shared" si="25"/>
        <v>07</v>
      </c>
      <c r="J377">
        <f t="shared" si="26"/>
        <v>4</v>
      </c>
      <c r="K377" t="str">
        <f>_xlfn.XLOOKUP(Table2[[#This Row],[Row]],Table1[Row],Table1[StartSide],0)</f>
        <v>R</v>
      </c>
      <c r="L377" t="str">
        <f t="shared" si="27"/>
        <v>R</v>
      </c>
      <c r="M377" t="str">
        <f t="shared" si="28"/>
        <v>PS2_C07_4_R</v>
      </c>
    </row>
    <row r="378" spans="1:13" x14ac:dyDescent="0.25">
      <c r="A378" t="s">
        <v>385</v>
      </c>
      <c r="B378" t="s">
        <v>765</v>
      </c>
      <c r="C378" t="s">
        <v>759</v>
      </c>
      <c r="D378">
        <v>5</v>
      </c>
      <c r="E378" t="s">
        <v>751</v>
      </c>
      <c r="F378" t="s">
        <v>780</v>
      </c>
      <c r="G378" t="str">
        <f t="shared" si="29"/>
        <v>C</v>
      </c>
      <c r="H378">
        <f>_xlfn.XLOOKUP(Table2[[#This Row],[Zone]],Table1[Row],Table1[Max Bay],_xleta.NA,0)</f>
        <v>14</v>
      </c>
      <c r="I378" s="1" t="str">
        <f t="shared" si="25"/>
        <v>07</v>
      </c>
      <c r="J378">
        <f t="shared" si="26"/>
        <v>5</v>
      </c>
      <c r="K378" t="str">
        <f>_xlfn.XLOOKUP(Table2[[#This Row],[Row]],Table1[Row],Table1[StartSide],0)</f>
        <v>R</v>
      </c>
      <c r="L378" t="str">
        <f t="shared" si="27"/>
        <v>L</v>
      </c>
      <c r="M378" t="str">
        <f t="shared" si="28"/>
        <v>PS2_C07_5_L</v>
      </c>
    </row>
    <row r="379" spans="1:13" x14ac:dyDescent="0.25">
      <c r="A379" t="s">
        <v>386</v>
      </c>
      <c r="B379" t="s">
        <v>765</v>
      </c>
      <c r="C379" t="s">
        <v>759</v>
      </c>
      <c r="D379">
        <v>5</v>
      </c>
      <c r="E379" t="s">
        <v>752</v>
      </c>
      <c r="F379" t="s">
        <v>780</v>
      </c>
      <c r="G379" t="str">
        <f t="shared" si="29"/>
        <v>C</v>
      </c>
      <c r="H379">
        <f>_xlfn.XLOOKUP(Table2[[#This Row],[Zone]],Table1[Row],Table1[Max Bay],_xleta.NA,0)</f>
        <v>14</v>
      </c>
      <c r="I379" s="1" t="str">
        <f t="shared" si="25"/>
        <v>07</v>
      </c>
      <c r="J379">
        <f t="shared" si="26"/>
        <v>5</v>
      </c>
      <c r="K379" t="str">
        <f>_xlfn.XLOOKUP(Table2[[#This Row],[Row]],Table1[Row],Table1[StartSide],0)</f>
        <v>R</v>
      </c>
      <c r="L379" t="str">
        <f t="shared" si="27"/>
        <v>R</v>
      </c>
      <c r="M379" t="str">
        <f t="shared" si="28"/>
        <v>PS2_C07_5_R</v>
      </c>
    </row>
    <row r="380" spans="1:13" x14ac:dyDescent="0.25">
      <c r="A380" t="s">
        <v>387</v>
      </c>
      <c r="B380" t="s">
        <v>765</v>
      </c>
      <c r="C380" t="s">
        <v>759</v>
      </c>
      <c r="D380">
        <v>6</v>
      </c>
      <c r="E380" t="s">
        <v>751</v>
      </c>
      <c r="F380" t="s">
        <v>780</v>
      </c>
      <c r="G380" t="str">
        <f t="shared" si="29"/>
        <v>C</v>
      </c>
      <c r="H380">
        <f>_xlfn.XLOOKUP(Table2[[#This Row],[Zone]],Table1[Row],Table1[Max Bay],_xleta.NA,0)</f>
        <v>14</v>
      </c>
      <c r="I380" s="1" t="str">
        <f t="shared" si="25"/>
        <v>07</v>
      </c>
      <c r="J380">
        <f t="shared" si="26"/>
        <v>6</v>
      </c>
      <c r="K380" t="str">
        <f>_xlfn.XLOOKUP(Table2[[#This Row],[Row]],Table1[Row],Table1[StartSide],0)</f>
        <v>R</v>
      </c>
      <c r="L380" t="str">
        <f t="shared" si="27"/>
        <v>L</v>
      </c>
      <c r="M380" t="str">
        <f t="shared" si="28"/>
        <v>PS2_C07_6_L</v>
      </c>
    </row>
    <row r="381" spans="1:13" x14ac:dyDescent="0.25">
      <c r="A381" t="s">
        <v>388</v>
      </c>
      <c r="B381" t="s">
        <v>765</v>
      </c>
      <c r="C381" t="s">
        <v>759</v>
      </c>
      <c r="D381">
        <v>6</v>
      </c>
      <c r="E381" t="s">
        <v>752</v>
      </c>
      <c r="F381" t="s">
        <v>780</v>
      </c>
      <c r="G381" t="str">
        <f t="shared" si="29"/>
        <v>C</v>
      </c>
      <c r="H381">
        <f>_xlfn.XLOOKUP(Table2[[#This Row],[Zone]],Table1[Row],Table1[Max Bay],_xleta.NA,0)</f>
        <v>14</v>
      </c>
      <c r="I381" s="1" t="str">
        <f t="shared" si="25"/>
        <v>07</v>
      </c>
      <c r="J381">
        <f t="shared" si="26"/>
        <v>6</v>
      </c>
      <c r="K381" t="str">
        <f>_xlfn.XLOOKUP(Table2[[#This Row],[Row]],Table1[Row],Table1[StartSide],0)</f>
        <v>R</v>
      </c>
      <c r="L381" t="str">
        <f t="shared" si="27"/>
        <v>R</v>
      </c>
      <c r="M381" t="str">
        <f t="shared" si="28"/>
        <v>PS2_C07_6_R</v>
      </c>
    </row>
    <row r="382" spans="1:13" x14ac:dyDescent="0.25">
      <c r="A382" t="s">
        <v>389</v>
      </c>
      <c r="B382" t="s">
        <v>765</v>
      </c>
      <c r="C382" t="s">
        <v>760</v>
      </c>
      <c r="D382">
        <v>1</v>
      </c>
      <c r="E382" t="s">
        <v>751</v>
      </c>
      <c r="F382" t="s">
        <v>780</v>
      </c>
      <c r="G382" t="str">
        <f t="shared" si="29"/>
        <v>C</v>
      </c>
      <c r="H382">
        <f>_xlfn.XLOOKUP(Table2[[#This Row],[Zone]],Table1[Row],Table1[Max Bay],_xleta.NA,0)</f>
        <v>14</v>
      </c>
      <c r="I382" s="1" t="str">
        <f t="shared" si="25"/>
        <v>06</v>
      </c>
      <c r="J382">
        <f t="shared" si="26"/>
        <v>1</v>
      </c>
      <c r="K382" t="str">
        <f>_xlfn.XLOOKUP(Table2[[#This Row],[Row]],Table1[Row],Table1[StartSide],0)</f>
        <v>R</v>
      </c>
      <c r="L382" t="str">
        <f t="shared" si="27"/>
        <v>L</v>
      </c>
      <c r="M382" t="str">
        <f t="shared" si="28"/>
        <v>PS2_C06_1_L</v>
      </c>
    </row>
    <row r="383" spans="1:13" x14ac:dyDescent="0.25">
      <c r="A383" t="s">
        <v>390</v>
      </c>
      <c r="B383" t="s">
        <v>765</v>
      </c>
      <c r="C383" t="s">
        <v>760</v>
      </c>
      <c r="D383">
        <v>1</v>
      </c>
      <c r="E383" t="s">
        <v>752</v>
      </c>
      <c r="F383" t="s">
        <v>780</v>
      </c>
      <c r="G383" t="str">
        <f t="shared" si="29"/>
        <v>C</v>
      </c>
      <c r="H383">
        <f>_xlfn.XLOOKUP(Table2[[#This Row],[Zone]],Table1[Row],Table1[Max Bay],_xleta.NA,0)</f>
        <v>14</v>
      </c>
      <c r="I383" s="1" t="str">
        <f t="shared" si="25"/>
        <v>06</v>
      </c>
      <c r="J383">
        <f t="shared" si="26"/>
        <v>1</v>
      </c>
      <c r="K383" t="str">
        <f>_xlfn.XLOOKUP(Table2[[#This Row],[Row]],Table1[Row],Table1[StartSide],0)</f>
        <v>R</v>
      </c>
      <c r="L383" t="str">
        <f t="shared" si="27"/>
        <v>R</v>
      </c>
      <c r="M383" t="str">
        <f t="shared" si="28"/>
        <v>PS2_C06_1_R</v>
      </c>
    </row>
    <row r="384" spans="1:13" x14ac:dyDescent="0.25">
      <c r="A384" t="s">
        <v>391</v>
      </c>
      <c r="B384" t="s">
        <v>765</v>
      </c>
      <c r="C384" t="s">
        <v>760</v>
      </c>
      <c r="D384">
        <v>2</v>
      </c>
      <c r="E384" t="s">
        <v>751</v>
      </c>
      <c r="F384" t="s">
        <v>780</v>
      </c>
      <c r="G384" t="str">
        <f t="shared" si="29"/>
        <v>C</v>
      </c>
      <c r="H384">
        <f>_xlfn.XLOOKUP(Table2[[#This Row],[Zone]],Table1[Row],Table1[Max Bay],_xleta.NA,0)</f>
        <v>14</v>
      </c>
      <c r="I384" s="1" t="str">
        <f t="shared" si="25"/>
        <v>06</v>
      </c>
      <c r="J384">
        <f t="shared" si="26"/>
        <v>2</v>
      </c>
      <c r="K384" t="str">
        <f>_xlfn.XLOOKUP(Table2[[#This Row],[Row]],Table1[Row],Table1[StartSide],0)</f>
        <v>R</v>
      </c>
      <c r="L384" t="str">
        <f t="shared" si="27"/>
        <v>L</v>
      </c>
      <c r="M384" t="str">
        <f t="shared" si="28"/>
        <v>PS2_C06_2_L</v>
      </c>
    </row>
    <row r="385" spans="1:13" x14ac:dyDescent="0.25">
      <c r="A385" t="s">
        <v>392</v>
      </c>
      <c r="B385" t="s">
        <v>765</v>
      </c>
      <c r="C385" t="s">
        <v>760</v>
      </c>
      <c r="D385">
        <v>2</v>
      </c>
      <c r="E385" t="s">
        <v>752</v>
      </c>
      <c r="F385" t="s">
        <v>780</v>
      </c>
      <c r="G385" t="str">
        <f t="shared" si="29"/>
        <v>C</v>
      </c>
      <c r="H385">
        <f>_xlfn.XLOOKUP(Table2[[#This Row],[Zone]],Table1[Row],Table1[Max Bay],_xleta.NA,0)</f>
        <v>14</v>
      </c>
      <c r="I385" s="1" t="str">
        <f t="shared" si="25"/>
        <v>06</v>
      </c>
      <c r="J385">
        <f t="shared" si="26"/>
        <v>2</v>
      </c>
      <c r="K385" t="str">
        <f>_xlfn.XLOOKUP(Table2[[#This Row],[Row]],Table1[Row],Table1[StartSide],0)</f>
        <v>R</v>
      </c>
      <c r="L385" t="str">
        <f t="shared" si="27"/>
        <v>R</v>
      </c>
      <c r="M385" t="str">
        <f t="shared" si="28"/>
        <v>PS2_C06_2_R</v>
      </c>
    </row>
    <row r="386" spans="1:13" x14ac:dyDescent="0.25">
      <c r="A386" t="s">
        <v>393</v>
      </c>
      <c r="B386" t="s">
        <v>765</v>
      </c>
      <c r="C386" t="s">
        <v>760</v>
      </c>
      <c r="D386">
        <v>3</v>
      </c>
      <c r="E386" t="s">
        <v>751</v>
      </c>
      <c r="F386" t="s">
        <v>780</v>
      </c>
      <c r="G386" t="str">
        <f t="shared" si="29"/>
        <v>C</v>
      </c>
      <c r="H386">
        <f>_xlfn.XLOOKUP(Table2[[#This Row],[Zone]],Table1[Row],Table1[Max Bay],_xleta.NA,0)</f>
        <v>14</v>
      </c>
      <c r="I386" s="1" t="str">
        <f t="shared" ref="I386:I449" si="30">TEXT(H386-INT(C386)+1,"00")</f>
        <v>06</v>
      </c>
      <c r="J386">
        <f t="shared" ref="J386:J449" si="31">D386</f>
        <v>3</v>
      </c>
      <c r="K386" t="str">
        <f>_xlfn.XLOOKUP(Table2[[#This Row],[Row]],Table1[Row],Table1[StartSide],0)</f>
        <v>R</v>
      </c>
      <c r="L386" t="str">
        <f t="shared" ref="L386:L449" si="32">E386</f>
        <v>L</v>
      </c>
      <c r="M386" t="str">
        <f t="shared" ref="M386:M449" si="33">_xlfn.CONCAT(F386,"_",G386,I386,"_",J386,"_",L386)</f>
        <v>PS2_C06_3_L</v>
      </c>
    </row>
    <row r="387" spans="1:13" x14ac:dyDescent="0.25">
      <c r="A387" t="s">
        <v>394</v>
      </c>
      <c r="B387" t="s">
        <v>765</v>
      </c>
      <c r="C387" t="s">
        <v>760</v>
      </c>
      <c r="D387">
        <v>3</v>
      </c>
      <c r="E387" t="s">
        <v>752</v>
      </c>
      <c r="F387" t="s">
        <v>780</v>
      </c>
      <c r="G387" t="str">
        <f t="shared" ref="G387:G450" si="34">B387</f>
        <v>C</v>
      </c>
      <c r="H387">
        <f>_xlfn.XLOOKUP(Table2[[#This Row],[Zone]],Table1[Row],Table1[Max Bay],_xleta.NA,0)</f>
        <v>14</v>
      </c>
      <c r="I387" s="1" t="str">
        <f t="shared" si="30"/>
        <v>06</v>
      </c>
      <c r="J387">
        <f t="shared" si="31"/>
        <v>3</v>
      </c>
      <c r="K387" t="str">
        <f>_xlfn.XLOOKUP(Table2[[#This Row],[Row]],Table1[Row],Table1[StartSide],0)</f>
        <v>R</v>
      </c>
      <c r="L387" t="str">
        <f t="shared" si="32"/>
        <v>R</v>
      </c>
      <c r="M387" t="str">
        <f t="shared" si="33"/>
        <v>PS2_C06_3_R</v>
      </c>
    </row>
    <row r="388" spans="1:13" x14ac:dyDescent="0.25">
      <c r="A388" t="s">
        <v>395</v>
      </c>
      <c r="B388" t="s">
        <v>765</v>
      </c>
      <c r="C388" t="s">
        <v>760</v>
      </c>
      <c r="D388">
        <v>4</v>
      </c>
      <c r="E388" t="s">
        <v>751</v>
      </c>
      <c r="F388" t="s">
        <v>780</v>
      </c>
      <c r="G388" t="str">
        <f t="shared" si="34"/>
        <v>C</v>
      </c>
      <c r="H388">
        <f>_xlfn.XLOOKUP(Table2[[#This Row],[Zone]],Table1[Row],Table1[Max Bay],_xleta.NA,0)</f>
        <v>14</v>
      </c>
      <c r="I388" s="1" t="str">
        <f t="shared" si="30"/>
        <v>06</v>
      </c>
      <c r="J388">
        <f t="shared" si="31"/>
        <v>4</v>
      </c>
      <c r="K388" t="str">
        <f>_xlfn.XLOOKUP(Table2[[#This Row],[Row]],Table1[Row],Table1[StartSide],0)</f>
        <v>R</v>
      </c>
      <c r="L388" t="str">
        <f t="shared" si="32"/>
        <v>L</v>
      </c>
      <c r="M388" t="str">
        <f t="shared" si="33"/>
        <v>PS2_C06_4_L</v>
      </c>
    </row>
    <row r="389" spans="1:13" x14ac:dyDescent="0.25">
      <c r="A389" t="s">
        <v>396</v>
      </c>
      <c r="B389" t="s">
        <v>765</v>
      </c>
      <c r="C389" t="s">
        <v>760</v>
      </c>
      <c r="D389">
        <v>4</v>
      </c>
      <c r="E389" t="s">
        <v>752</v>
      </c>
      <c r="F389" t="s">
        <v>780</v>
      </c>
      <c r="G389" t="str">
        <f t="shared" si="34"/>
        <v>C</v>
      </c>
      <c r="H389">
        <f>_xlfn.XLOOKUP(Table2[[#This Row],[Zone]],Table1[Row],Table1[Max Bay],_xleta.NA,0)</f>
        <v>14</v>
      </c>
      <c r="I389" s="1" t="str">
        <f t="shared" si="30"/>
        <v>06</v>
      </c>
      <c r="J389">
        <f t="shared" si="31"/>
        <v>4</v>
      </c>
      <c r="K389" t="str">
        <f>_xlfn.XLOOKUP(Table2[[#This Row],[Row]],Table1[Row],Table1[StartSide],0)</f>
        <v>R</v>
      </c>
      <c r="L389" t="str">
        <f t="shared" si="32"/>
        <v>R</v>
      </c>
      <c r="M389" t="str">
        <f t="shared" si="33"/>
        <v>PS2_C06_4_R</v>
      </c>
    </row>
    <row r="390" spans="1:13" x14ac:dyDescent="0.25">
      <c r="A390" t="s">
        <v>397</v>
      </c>
      <c r="B390" t="s">
        <v>765</v>
      </c>
      <c r="C390" t="s">
        <v>760</v>
      </c>
      <c r="D390">
        <v>5</v>
      </c>
      <c r="E390" t="s">
        <v>751</v>
      </c>
      <c r="F390" t="s">
        <v>780</v>
      </c>
      <c r="G390" t="str">
        <f t="shared" si="34"/>
        <v>C</v>
      </c>
      <c r="H390">
        <f>_xlfn.XLOOKUP(Table2[[#This Row],[Zone]],Table1[Row],Table1[Max Bay],_xleta.NA,0)</f>
        <v>14</v>
      </c>
      <c r="I390" s="1" t="str">
        <f t="shared" si="30"/>
        <v>06</v>
      </c>
      <c r="J390">
        <f t="shared" si="31"/>
        <v>5</v>
      </c>
      <c r="K390" t="str">
        <f>_xlfn.XLOOKUP(Table2[[#This Row],[Row]],Table1[Row],Table1[StartSide],0)</f>
        <v>R</v>
      </c>
      <c r="L390" t="str">
        <f t="shared" si="32"/>
        <v>L</v>
      </c>
      <c r="M390" t="str">
        <f t="shared" si="33"/>
        <v>PS2_C06_5_L</v>
      </c>
    </row>
    <row r="391" spans="1:13" x14ac:dyDescent="0.25">
      <c r="A391" t="s">
        <v>398</v>
      </c>
      <c r="B391" t="s">
        <v>765</v>
      </c>
      <c r="C391" t="s">
        <v>760</v>
      </c>
      <c r="D391">
        <v>5</v>
      </c>
      <c r="E391" t="s">
        <v>752</v>
      </c>
      <c r="F391" t="s">
        <v>780</v>
      </c>
      <c r="G391" t="str">
        <f t="shared" si="34"/>
        <v>C</v>
      </c>
      <c r="H391">
        <f>_xlfn.XLOOKUP(Table2[[#This Row],[Zone]],Table1[Row],Table1[Max Bay],_xleta.NA,0)</f>
        <v>14</v>
      </c>
      <c r="I391" s="1" t="str">
        <f t="shared" si="30"/>
        <v>06</v>
      </c>
      <c r="J391">
        <f t="shared" si="31"/>
        <v>5</v>
      </c>
      <c r="K391" t="str">
        <f>_xlfn.XLOOKUP(Table2[[#This Row],[Row]],Table1[Row],Table1[StartSide],0)</f>
        <v>R</v>
      </c>
      <c r="L391" t="str">
        <f t="shared" si="32"/>
        <v>R</v>
      </c>
      <c r="M391" t="str">
        <f t="shared" si="33"/>
        <v>PS2_C06_5_R</v>
      </c>
    </row>
    <row r="392" spans="1:13" x14ac:dyDescent="0.25">
      <c r="A392" t="s">
        <v>399</v>
      </c>
      <c r="B392" t="s">
        <v>765</v>
      </c>
      <c r="C392" t="s">
        <v>760</v>
      </c>
      <c r="D392">
        <v>6</v>
      </c>
      <c r="E392" t="s">
        <v>751</v>
      </c>
      <c r="F392" t="s">
        <v>780</v>
      </c>
      <c r="G392" t="str">
        <f t="shared" si="34"/>
        <v>C</v>
      </c>
      <c r="H392">
        <f>_xlfn.XLOOKUP(Table2[[#This Row],[Zone]],Table1[Row],Table1[Max Bay],_xleta.NA,0)</f>
        <v>14</v>
      </c>
      <c r="I392" s="1" t="str">
        <f t="shared" si="30"/>
        <v>06</v>
      </c>
      <c r="J392">
        <f t="shared" si="31"/>
        <v>6</v>
      </c>
      <c r="K392" t="str">
        <f>_xlfn.XLOOKUP(Table2[[#This Row],[Row]],Table1[Row],Table1[StartSide],0)</f>
        <v>R</v>
      </c>
      <c r="L392" t="str">
        <f t="shared" si="32"/>
        <v>L</v>
      </c>
      <c r="M392" t="str">
        <f t="shared" si="33"/>
        <v>PS2_C06_6_L</v>
      </c>
    </row>
    <row r="393" spans="1:13" x14ac:dyDescent="0.25">
      <c r="A393" t="s">
        <v>400</v>
      </c>
      <c r="B393" t="s">
        <v>765</v>
      </c>
      <c r="C393" t="s">
        <v>761</v>
      </c>
      <c r="D393">
        <v>1</v>
      </c>
      <c r="E393" t="s">
        <v>751</v>
      </c>
      <c r="F393" t="s">
        <v>780</v>
      </c>
      <c r="G393" t="str">
        <f t="shared" si="34"/>
        <v>C</v>
      </c>
      <c r="H393">
        <f>_xlfn.XLOOKUP(Table2[[#This Row],[Zone]],Table1[Row],Table1[Max Bay],_xleta.NA,0)</f>
        <v>14</v>
      </c>
      <c r="I393" s="1" t="str">
        <f t="shared" si="30"/>
        <v>05</v>
      </c>
      <c r="J393">
        <f t="shared" si="31"/>
        <v>1</v>
      </c>
      <c r="K393" t="str">
        <f>_xlfn.XLOOKUP(Table2[[#This Row],[Row]],Table1[Row],Table1[StartSide],0)</f>
        <v>R</v>
      </c>
      <c r="L393" t="str">
        <f t="shared" si="32"/>
        <v>L</v>
      </c>
      <c r="M393" t="str">
        <f t="shared" si="33"/>
        <v>PS2_C05_1_L</v>
      </c>
    </row>
    <row r="394" spans="1:13" x14ac:dyDescent="0.25">
      <c r="A394" t="s">
        <v>401</v>
      </c>
      <c r="B394" t="s">
        <v>765</v>
      </c>
      <c r="C394" t="s">
        <v>761</v>
      </c>
      <c r="D394">
        <v>1</v>
      </c>
      <c r="E394" t="s">
        <v>752</v>
      </c>
      <c r="F394" t="s">
        <v>780</v>
      </c>
      <c r="G394" t="str">
        <f t="shared" si="34"/>
        <v>C</v>
      </c>
      <c r="H394">
        <f>_xlfn.XLOOKUP(Table2[[#This Row],[Zone]],Table1[Row],Table1[Max Bay],_xleta.NA,0)</f>
        <v>14</v>
      </c>
      <c r="I394" s="1" t="str">
        <f t="shared" si="30"/>
        <v>05</v>
      </c>
      <c r="J394">
        <f t="shared" si="31"/>
        <v>1</v>
      </c>
      <c r="K394" t="str">
        <f>_xlfn.XLOOKUP(Table2[[#This Row],[Row]],Table1[Row],Table1[StartSide],0)</f>
        <v>R</v>
      </c>
      <c r="L394" t="str">
        <f t="shared" si="32"/>
        <v>R</v>
      </c>
      <c r="M394" t="str">
        <f t="shared" si="33"/>
        <v>PS2_C05_1_R</v>
      </c>
    </row>
    <row r="395" spans="1:13" x14ac:dyDescent="0.25">
      <c r="A395" t="s">
        <v>402</v>
      </c>
      <c r="B395" t="s">
        <v>765</v>
      </c>
      <c r="C395" t="s">
        <v>761</v>
      </c>
      <c r="D395">
        <v>2</v>
      </c>
      <c r="E395" t="s">
        <v>751</v>
      </c>
      <c r="F395" t="s">
        <v>780</v>
      </c>
      <c r="G395" t="str">
        <f t="shared" si="34"/>
        <v>C</v>
      </c>
      <c r="H395">
        <f>_xlfn.XLOOKUP(Table2[[#This Row],[Zone]],Table1[Row],Table1[Max Bay],_xleta.NA,0)</f>
        <v>14</v>
      </c>
      <c r="I395" s="1" t="str">
        <f t="shared" si="30"/>
        <v>05</v>
      </c>
      <c r="J395">
        <f t="shared" si="31"/>
        <v>2</v>
      </c>
      <c r="K395" t="str">
        <f>_xlfn.XLOOKUP(Table2[[#This Row],[Row]],Table1[Row],Table1[StartSide],0)</f>
        <v>R</v>
      </c>
      <c r="L395" t="str">
        <f t="shared" si="32"/>
        <v>L</v>
      </c>
      <c r="M395" t="str">
        <f t="shared" si="33"/>
        <v>PS2_C05_2_L</v>
      </c>
    </row>
    <row r="396" spans="1:13" x14ac:dyDescent="0.25">
      <c r="A396" t="s">
        <v>403</v>
      </c>
      <c r="B396" t="s">
        <v>765</v>
      </c>
      <c r="C396" t="s">
        <v>761</v>
      </c>
      <c r="D396">
        <v>2</v>
      </c>
      <c r="E396" t="s">
        <v>752</v>
      </c>
      <c r="F396" t="s">
        <v>780</v>
      </c>
      <c r="G396" t="str">
        <f t="shared" si="34"/>
        <v>C</v>
      </c>
      <c r="H396">
        <f>_xlfn.XLOOKUP(Table2[[#This Row],[Zone]],Table1[Row],Table1[Max Bay],_xleta.NA,0)</f>
        <v>14</v>
      </c>
      <c r="I396" s="1" t="str">
        <f t="shared" si="30"/>
        <v>05</v>
      </c>
      <c r="J396">
        <f t="shared" si="31"/>
        <v>2</v>
      </c>
      <c r="K396" t="str">
        <f>_xlfn.XLOOKUP(Table2[[#This Row],[Row]],Table1[Row],Table1[StartSide],0)</f>
        <v>R</v>
      </c>
      <c r="L396" t="str">
        <f t="shared" si="32"/>
        <v>R</v>
      </c>
      <c r="M396" t="str">
        <f t="shared" si="33"/>
        <v>PS2_C05_2_R</v>
      </c>
    </row>
    <row r="397" spans="1:13" x14ac:dyDescent="0.25">
      <c r="A397" t="s">
        <v>404</v>
      </c>
      <c r="B397" t="s">
        <v>765</v>
      </c>
      <c r="C397" t="s">
        <v>761</v>
      </c>
      <c r="D397">
        <v>3</v>
      </c>
      <c r="E397" t="s">
        <v>751</v>
      </c>
      <c r="F397" t="s">
        <v>780</v>
      </c>
      <c r="G397" t="str">
        <f t="shared" si="34"/>
        <v>C</v>
      </c>
      <c r="H397">
        <f>_xlfn.XLOOKUP(Table2[[#This Row],[Zone]],Table1[Row],Table1[Max Bay],_xleta.NA,0)</f>
        <v>14</v>
      </c>
      <c r="I397" s="1" t="str">
        <f t="shared" si="30"/>
        <v>05</v>
      </c>
      <c r="J397">
        <f t="shared" si="31"/>
        <v>3</v>
      </c>
      <c r="K397" t="str">
        <f>_xlfn.XLOOKUP(Table2[[#This Row],[Row]],Table1[Row],Table1[StartSide],0)</f>
        <v>R</v>
      </c>
      <c r="L397" t="str">
        <f t="shared" si="32"/>
        <v>L</v>
      </c>
      <c r="M397" t="str">
        <f t="shared" si="33"/>
        <v>PS2_C05_3_L</v>
      </c>
    </row>
    <row r="398" spans="1:13" x14ac:dyDescent="0.25">
      <c r="A398" t="s">
        <v>405</v>
      </c>
      <c r="B398" t="s">
        <v>765</v>
      </c>
      <c r="C398" t="s">
        <v>761</v>
      </c>
      <c r="D398">
        <v>3</v>
      </c>
      <c r="E398" t="s">
        <v>752</v>
      </c>
      <c r="F398" t="s">
        <v>780</v>
      </c>
      <c r="G398" t="str">
        <f t="shared" si="34"/>
        <v>C</v>
      </c>
      <c r="H398">
        <f>_xlfn.XLOOKUP(Table2[[#This Row],[Zone]],Table1[Row],Table1[Max Bay],_xleta.NA,0)</f>
        <v>14</v>
      </c>
      <c r="I398" s="1" t="str">
        <f t="shared" si="30"/>
        <v>05</v>
      </c>
      <c r="J398">
        <f t="shared" si="31"/>
        <v>3</v>
      </c>
      <c r="K398" t="str">
        <f>_xlfn.XLOOKUP(Table2[[#This Row],[Row]],Table1[Row],Table1[StartSide],0)</f>
        <v>R</v>
      </c>
      <c r="L398" t="str">
        <f t="shared" si="32"/>
        <v>R</v>
      </c>
      <c r="M398" t="str">
        <f t="shared" si="33"/>
        <v>PS2_C05_3_R</v>
      </c>
    </row>
    <row r="399" spans="1:13" x14ac:dyDescent="0.25">
      <c r="A399" t="s">
        <v>406</v>
      </c>
      <c r="B399" t="s">
        <v>765</v>
      </c>
      <c r="C399" t="s">
        <v>761</v>
      </c>
      <c r="D399">
        <v>4</v>
      </c>
      <c r="E399" t="s">
        <v>751</v>
      </c>
      <c r="F399" t="s">
        <v>780</v>
      </c>
      <c r="G399" t="str">
        <f t="shared" si="34"/>
        <v>C</v>
      </c>
      <c r="H399">
        <f>_xlfn.XLOOKUP(Table2[[#This Row],[Zone]],Table1[Row],Table1[Max Bay],_xleta.NA,0)</f>
        <v>14</v>
      </c>
      <c r="I399" s="1" t="str">
        <f t="shared" si="30"/>
        <v>05</v>
      </c>
      <c r="J399">
        <f t="shared" si="31"/>
        <v>4</v>
      </c>
      <c r="K399" t="str">
        <f>_xlfn.XLOOKUP(Table2[[#This Row],[Row]],Table1[Row],Table1[StartSide],0)</f>
        <v>R</v>
      </c>
      <c r="L399" t="str">
        <f t="shared" si="32"/>
        <v>L</v>
      </c>
      <c r="M399" t="str">
        <f t="shared" si="33"/>
        <v>PS2_C05_4_L</v>
      </c>
    </row>
    <row r="400" spans="1:13" x14ac:dyDescent="0.25">
      <c r="A400" t="s">
        <v>407</v>
      </c>
      <c r="B400" t="s">
        <v>765</v>
      </c>
      <c r="C400" t="s">
        <v>761</v>
      </c>
      <c r="D400">
        <v>4</v>
      </c>
      <c r="E400" t="s">
        <v>752</v>
      </c>
      <c r="F400" t="s">
        <v>780</v>
      </c>
      <c r="G400" t="str">
        <f t="shared" si="34"/>
        <v>C</v>
      </c>
      <c r="H400">
        <f>_xlfn.XLOOKUP(Table2[[#This Row],[Zone]],Table1[Row],Table1[Max Bay],_xleta.NA,0)</f>
        <v>14</v>
      </c>
      <c r="I400" s="1" t="str">
        <f t="shared" si="30"/>
        <v>05</v>
      </c>
      <c r="J400">
        <f t="shared" si="31"/>
        <v>4</v>
      </c>
      <c r="K400" t="str">
        <f>_xlfn.XLOOKUP(Table2[[#This Row],[Row]],Table1[Row],Table1[StartSide],0)</f>
        <v>R</v>
      </c>
      <c r="L400" t="str">
        <f t="shared" si="32"/>
        <v>R</v>
      </c>
      <c r="M400" t="str">
        <f t="shared" si="33"/>
        <v>PS2_C05_4_R</v>
      </c>
    </row>
    <row r="401" spans="1:13" x14ac:dyDescent="0.25">
      <c r="A401" t="s">
        <v>408</v>
      </c>
      <c r="B401" t="s">
        <v>765</v>
      </c>
      <c r="C401" t="s">
        <v>761</v>
      </c>
      <c r="D401">
        <v>5</v>
      </c>
      <c r="E401" t="s">
        <v>751</v>
      </c>
      <c r="F401" t="s">
        <v>780</v>
      </c>
      <c r="G401" t="str">
        <f t="shared" si="34"/>
        <v>C</v>
      </c>
      <c r="H401">
        <f>_xlfn.XLOOKUP(Table2[[#This Row],[Zone]],Table1[Row],Table1[Max Bay],_xleta.NA,0)</f>
        <v>14</v>
      </c>
      <c r="I401" s="1" t="str">
        <f t="shared" si="30"/>
        <v>05</v>
      </c>
      <c r="J401">
        <f t="shared" si="31"/>
        <v>5</v>
      </c>
      <c r="K401" t="str">
        <f>_xlfn.XLOOKUP(Table2[[#This Row],[Row]],Table1[Row],Table1[StartSide],0)</f>
        <v>R</v>
      </c>
      <c r="L401" t="str">
        <f t="shared" si="32"/>
        <v>L</v>
      </c>
      <c r="M401" t="str">
        <f t="shared" si="33"/>
        <v>PS2_C05_5_L</v>
      </c>
    </row>
    <row r="402" spans="1:13" x14ac:dyDescent="0.25">
      <c r="A402" t="s">
        <v>409</v>
      </c>
      <c r="B402" t="s">
        <v>765</v>
      </c>
      <c r="C402" t="s">
        <v>761</v>
      </c>
      <c r="D402">
        <v>5</v>
      </c>
      <c r="E402" t="s">
        <v>752</v>
      </c>
      <c r="F402" t="s">
        <v>780</v>
      </c>
      <c r="G402" t="str">
        <f t="shared" si="34"/>
        <v>C</v>
      </c>
      <c r="H402">
        <f>_xlfn.XLOOKUP(Table2[[#This Row],[Zone]],Table1[Row],Table1[Max Bay],_xleta.NA,0)</f>
        <v>14</v>
      </c>
      <c r="I402" s="1" t="str">
        <f t="shared" si="30"/>
        <v>05</v>
      </c>
      <c r="J402">
        <f t="shared" si="31"/>
        <v>5</v>
      </c>
      <c r="K402" t="str">
        <f>_xlfn.XLOOKUP(Table2[[#This Row],[Row]],Table1[Row],Table1[StartSide],0)</f>
        <v>R</v>
      </c>
      <c r="L402" t="str">
        <f t="shared" si="32"/>
        <v>R</v>
      </c>
      <c r="M402" t="str">
        <f t="shared" si="33"/>
        <v>PS2_C05_5_R</v>
      </c>
    </row>
    <row r="403" spans="1:13" x14ac:dyDescent="0.25">
      <c r="A403" t="s">
        <v>410</v>
      </c>
      <c r="B403" t="s">
        <v>765</v>
      </c>
      <c r="C403" t="s">
        <v>761</v>
      </c>
      <c r="D403">
        <v>6</v>
      </c>
      <c r="E403" t="s">
        <v>751</v>
      </c>
      <c r="F403" t="s">
        <v>780</v>
      </c>
      <c r="G403" t="str">
        <f t="shared" si="34"/>
        <v>C</v>
      </c>
      <c r="H403">
        <f>_xlfn.XLOOKUP(Table2[[#This Row],[Zone]],Table1[Row],Table1[Max Bay],_xleta.NA,0)</f>
        <v>14</v>
      </c>
      <c r="I403" s="1" t="str">
        <f t="shared" si="30"/>
        <v>05</v>
      </c>
      <c r="J403">
        <f t="shared" si="31"/>
        <v>6</v>
      </c>
      <c r="K403" t="str">
        <f>_xlfn.XLOOKUP(Table2[[#This Row],[Row]],Table1[Row],Table1[StartSide],0)</f>
        <v>R</v>
      </c>
      <c r="L403" t="str">
        <f t="shared" si="32"/>
        <v>L</v>
      </c>
      <c r="M403" t="str">
        <f t="shared" si="33"/>
        <v>PS2_C05_6_L</v>
      </c>
    </row>
    <row r="404" spans="1:13" x14ac:dyDescent="0.25">
      <c r="A404" t="s">
        <v>411</v>
      </c>
      <c r="B404" t="s">
        <v>765</v>
      </c>
      <c r="C404" t="s">
        <v>761</v>
      </c>
      <c r="D404">
        <v>6</v>
      </c>
      <c r="E404" t="s">
        <v>752</v>
      </c>
      <c r="F404" t="s">
        <v>780</v>
      </c>
      <c r="G404" t="str">
        <f t="shared" si="34"/>
        <v>C</v>
      </c>
      <c r="H404">
        <f>_xlfn.XLOOKUP(Table2[[#This Row],[Zone]],Table1[Row],Table1[Max Bay],_xleta.NA,0)</f>
        <v>14</v>
      </c>
      <c r="I404" s="1" t="str">
        <f t="shared" si="30"/>
        <v>05</v>
      </c>
      <c r="J404">
        <f t="shared" si="31"/>
        <v>6</v>
      </c>
      <c r="K404" t="str">
        <f>_xlfn.XLOOKUP(Table2[[#This Row],[Row]],Table1[Row],Table1[StartSide],0)</f>
        <v>R</v>
      </c>
      <c r="L404" t="str">
        <f t="shared" si="32"/>
        <v>R</v>
      </c>
      <c r="M404" t="str">
        <f t="shared" si="33"/>
        <v>PS2_C05_6_R</v>
      </c>
    </row>
    <row r="405" spans="1:13" x14ac:dyDescent="0.25">
      <c r="A405" t="s">
        <v>412</v>
      </c>
      <c r="B405" t="s">
        <v>765</v>
      </c>
      <c r="C405" t="s">
        <v>762</v>
      </c>
      <c r="D405">
        <v>1</v>
      </c>
      <c r="E405" t="s">
        <v>751</v>
      </c>
      <c r="F405" t="s">
        <v>780</v>
      </c>
      <c r="G405" t="str">
        <f t="shared" si="34"/>
        <v>C</v>
      </c>
      <c r="H405">
        <f>_xlfn.XLOOKUP(Table2[[#This Row],[Zone]],Table1[Row],Table1[Max Bay],_xleta.NA,0)</f>
        <v>14</v>
      </c>
      <c r="I405" s="1" t="str">
        <f t="shared" si="30"/>
        <v>04</v>
      </c>
      <c r="J405">
        <f t="shared" si="31"/>
        <v>1</v>
      </c>
      <c r="K405" t="str">
        <f>_xlfn.XLOOKUP(Table2[[#This Row],[Row]],Table1[Row],Table1[StartSide],0)</f>
        <v>R</v>
      </c>
      <c r="L405" t="str">
        <f t="shared" si="32"/>
        <v>L</v>
      </c>
      <c r="M405" t="str">
        <f t="shared" si="33"/>
        <v>PS2_C04_1_L</v>
      </c>
    </row>
    <row r="406" spans="1:13" x14ac:dyDescent="0.25">
      <c r="A406" t="s">
        <v>413</v>
      </c>
      <c r="B406" t="s">
        <v>765</v>
      </c>
      <c r="C406" t="s">
        <v>762</v>
      </c>
      <c r="D406">
        <v>1</v>
      </c>
      <c r="E406" t="s">
        <v>752</v>
      </c>
      <c r="F406" t="s">
        <v>780</v>
      </c>
      <c r="G406" t="str">
        <f t="shared" si="34"/>
        <v>C</v>
      </c>
      <c r="H406">
        <f>_xlfn.XLOOKUP(Table2[[#This Row],[Zone]],Table1[Row],Table1[Max Bay],_xleta.NA,0)</f>
        <v>14</v>
      </c>
      <c r="I406" s="1" t="str">
        <f t="shared" si="30"/>
        <v>04</v>
      </c>
      <c r="J406">
        <f t="shared" si="31"/>
        <v>1</v>
      </c>
      <c r="K406" t="str">
        <f>_xlfn.XLOOKUP(Table2[[#This Row],[Row]],Table1[Row],Table1[StartSide],0)</f>
        <v>R</v>
      </c>
      <c r="L406" t="str">
        <f t="shared" si="32"/>
        <v>R</v>
      </c>
      <c r="M406" t="str">
        <f t="shared" si="33"/>
        <v>PS2_C04_1_R</v>
      </c>
    </row>
    <row r="407" spans="1:13" x14ac:dyDescent="0.25">
      <c r="A407" t="s">
        <v>414</v>
      </c>
      <c r="B407" t="s">
        <v>765</v>
      </c>
      <c r="C407" t="s">
        <v>762</v>
      </c>
      <c r="D407">
        <v>2</v>
      </c>
      <c r="E407" t="s">
        <v>751</v>
      </c>
      <c r="F407" t="s">
        <v>780</v>
      </c>
      <c r="G407" t="str">
        <f t="shared" si="34"/>
        <v>C</v>
      </c>
      <c r="H407">
        <f>_xlfn.XLOOKUP(Table2[[#This Row],[Zone]],Table1[Row],Table1[Max Bay],_xleta.NA,0)</f>
        <v>14</v>
      </c>
      <c r="I407" s="1" t="str">
        <f t="shared" si="30"/>
        <v>04</v>
      </c>
      <c r="J407">
        <f t="shared" si="31"/>
        <v>2</v>
      </c>
      <c r="K407" t="str">
        <f>_xlfn.XLOOKUP(Table2[[#This Row],[Row]],Table1[Row],Table1[StartSide],0)</f>
        <v>R</v>
      </c>
      <c r="L407" t="str">
        <f t="shared" si="32"/>
        <v>L</v>
      </c>
      <c r="M407" t="str">
        <f t="shared" si="33"/>
        <v>PS2_C04_2_L</v>
      </c>
    </row>
    <row r="408" spans="1:13" x14ac:dyDescent="0.25">
      <c r="A408" t="s">
        <v>415</v>
      </c>
      <c r="B408" t="s">
        <v>765</v>
      </c>
      <c r="C408" t="s">
        <v>762</v>
      </c>
      <c r="D408">
        <v>2</v>
      </c>
      <c r="E408" t="s">
        <v>752</v>
      </c>
      <c r="F408" t="s">
        <v>780</v>
      </c>
      <c r="G408" t="str">
        <f t="shared" si="34"/>
        <v>C</v>
      </c>
      <c r="H408">
        <f>_xlfn.XLOOKUP(Table2[[#This Row],[Zone]],Table1[Row],Table1[Max Bay],_xleta.NA,0)</f>
        <v>14</v>
      </c>
      <c r="I408" s="1" t="str">
        <f t="shared" si="30"/>
        <v>04</v>
      </c>
      <c r="J408">
        <f t="shared" si="31"/>
        <v>2</v>
      </c>
      <c r="K408" t="str">
        <f>_xlfn.XLOOKUP(Table2[[#This Row],[Row]],Table1[Row],Table1[StartSide],0)</f>
        <v>R</v>
      </c>
      <c r="L408" t="str">
        <f t="shared" si="32"/>
        <v>R</v>
      </c>
      <c r="M408" t="str">
        <f t="shared" si="33"/>
        <v>PS2_C04_2_R</v>
      </c>
    </row>
    <row r="409" spans="1:13" x14ac:dyDescent="0.25">
      <c r="A409" t="s">
        <v>416</v>
      </c>
      <c r="B409" t="s">
        <v>765</v>
      </c>
      <c r="C409" t="s">
        <v>762</v>
      </c>
      <c r="D409">
        <v>3</v>
      </c>
      <c r="E409" t="s">
        <v>751</v>
      </c>
      <c r="F409" t="s">
        <v>780</v>
      </c>
      <c r="G409" t="str">
        <f t="shared" si="34"/>
        <v>C</v>
      </c>
      <c r="H409">
        <f>_xlfn.XLOOKUP(Table2[[#This Row],[Zone]],Table1[Row],Table1[Max Bay],_xleta.NA,0)</f>
        <v>14</v>
      </c>
      <c r="I409" s="1" t="str">
        <f t="shared" si="30"/>
        <v>04</v>
      </c>
      <c r="J409">
        <f t="shared" si="31"/>
        <v>3</v>
      </c>
      <c r="K409" t="str">
        <f>_xlfn.XLOOKUP(Table2[[#This Row],[Row]],Table1[Row],Table1[StartSide],0)</f>
        <v>R</v>
      </c>
      <c r="L409" t="str">
        <f t="shared" si="32"/>
        <v>L</v>
      </c>
      <c r="M409" t="str">
        <f t="shared" si="33"/>
        <v>PS2_C04_3_L</v>
      </c>
    </row>
    <row r="410" spans="1:13" x14ac:dyDescent="0.25">
      <c r="A410" t="s">
        <v>417</v>
      </c>
      <c r="B410" t="s">
        <v>765</v>
      </c>
      <c r="C410" t="s">
        <v>762</v>
      </c>
      <c r="D410">
        <v>3</v>
      </c>
      <c r="E410" t="s">
        <v>752</v>
      </c>
      <c r="F410" t="s">
        <v>780</v>
      </c>
      <c r="G410" t="str">
        <f t="shared" si="34"/>
        <v>C</v>
      </c>
      <c r="H410">
        <f>_xlfn.XLOOKUP(Table2[[#This Row],[Zone]],Table1[Row],Table1[Max Bay],_xleta.NA,0)</f>
        <v>14</v>
      </c>
      <c r="I410" s="1" t="str">
        <f t="shared" si="30"/>
        <v>04</v>
      </c>
      <c r="J410">
        <f t="shared" si="31"/>
        <v>3</v>
      </c>
      <c r="K410" t="str">
        <f>_xlfn.XLOOKUP(Table2[[#This Row],[Row]],Table1[Row],Table1[StartSide],0)</f>
        <v>R</v>
      </c>
      <c r="L410" t="str">
        <f t="shared" si="32"/>
        <v>R</v>
      </c>
      <c r="M410" t="str">
        <f t="shared" si="33"/>
        <v>PS2_C04_3_R</v>
      </c>
    </row>
    <row r="411" spans="1:13" x14ac:dyDescent="0.25">
      <c r="A411" t="s">
        <v>418</v>
      </c>
      <c r="B411" t="s">
        <v>765</v>
      </c>
      <c r="C411" t="s">
        <v>762</v>
      </c>
      <c r="D411">
        <v>4</v>
      </c>
      <c r="E411" t="s">
        <v>751</v>
      </c>
      <c r="F411" t="s">
        <v>780</v>
      </c>
      <c r="G411" t="str">
        <f t="shared" si="34"/>
        <v>C</v>
      </c>
      <c r="H411">
        <f>_xlfn.XLOOKUP(Table2[[#This Row],[Zone]],Table1[Row],Table1[Max Bay],_xleta.NA,0)</f>
        <v>14</v>
      </c>
      <c r="I411" s="1" t="str">
        <f t="shared" si="30"/>
        <v>04</v>
      </c>
      <c r="J411">
        <f t="shared" si="31"/>
        <v>4</v>
      </c>
      <c r="K411" t="str">
        <f>_xlfn.XLOOKUP(Table2[[#This Row],[Row]],Table1[Row],Table1[StartSide],0)</f>
        <v>R</v>
      </c>
      <c r="L411" t="str">
        <f t="shared" si="32"/>
        <v>L</v>
      </c>
      <c r="M411" t="str">
        <f t="shared" si="33"/>
        <v>PS2_C04_4_L</v>
      </c>
    </row>
    <row r="412" spans="1:13" x14ac:dyDescent="0.25">
      <c r="A412" t="s">
        <v>419</v>
      </c>
      <c r="B412" t="s">
        <v>765</v>
      </c>
      <c r="C412" t="s">
        <v>762</v>
      </c>
      <c r="D412">
        <v>4</v>
      </c>
      <c r="E412" t="s">
        <v>752</v>
      </c>
      <c r="F412" t="s">
        <v>780</v>
      </c>
      <c r="G412" t="str">
        <f t="shared" si="34"/>
        <v>C</v>
      </c>
      <c r="H412">
        <f>_xlfn.XLOOKUP(Table2[[#This Row],[Zone]],Table1[Row],Table1[Max Bay],_xleta.NA,0)</f>
        <v>14</v>
      </c>
      <c r="I412" s="1" t="str">
        <f t="shared" si="30"/>
        <v>04</v>
      </c>
      <c r="J412">
        <f t="shared" si="31"/>
        <v>4</v>
      </c>
      <c r="K412" t="str">
        <f>_xlfn.XLOOKUP(Table2[[#This Row],[Row]],Table1[Row],Table1[StartSide],0)</f>
        <v>R</v>
      </c>
      <c r="L412" t="str">
        <f t="shared" si="32"/>
        <v>R</v>
      </c>
      <c r="M412" t="str">
        <f t="shared" si="33"/>
        <v>PS2_C04_4_R</v>
      </c>
    </row>
    <row r="413" spans="1:13" x14ac:dyDescent="0.25">
      <c r="A413" t="s">
        <v>420</v>
      </c>
      <c r="B413" t="s">
        <v>765</v>
      </c>
      <c r="C413" t="s">
        <v>762</v>
      </c>
      <c r="D413">
        <v>5</v>
      </c>
      <c r="E413" t="s">
        <v>751</v>
      </c>
      <c r="F413" t="s">
        <v>780</v>
      </c>
      <c r="G413" t="str">
        <f t="shared" si="34"/>
        <v>C</v>
      </c>
      <c r="H413">
        <f>_xlfn.XLOOKUP(Table2[[#This Row],[Zone]],Table1[Row],Table1[Max Bay],_xleta.NA,0)</f>
        <v>14</v>
      </c>
      <c r="I413" s="1" t="str">
        <f t="shared" si="30"/>
        <v>04</v>
      </c>
      <c r="J413">
        <f t="shared" si="31"/>
        <v>5</v>
      </c>
      <c r="K413" t="str">
        <f>_xlfn.XLOOKUP(Table2[[#This Row],[Row]],Table1[Row],Table1[StartSide],0)</f>
        <v>R</v>
      </c>
      <c r="L413" t="str">
        <f t="shared" si="32"/>
        <v>L</v>
      </c>
      <c r="M413" t="str">
        <f t="shared" si="33"/>
        <v>PS2_C04_5_L</v>
      </c>
    </row>
    <row r="414" spans="1:13" x14ac:dyDescent="0.25">
      <c r="A414" t="s">
        <v>421</v>
      </c>
      <c r="B414" t="s">
        <v>765</v>
      </c>
      <c r="C414" t="s">
        <v>762</v>
      </c>
      <c r="D414">
        <v>5</v>
      </c>
      <c r="E414" t="s">
        <v>752</v>
      </c>
      <c r="F414" t="s">
        <v>780</v>
      </c>
      <c r="G414" t="str">
        <f t="shared" si="34"/>
        <v>C</v>
      </c>
      <c r="H414">
        <f>_xlfn.XLOOKUP(Table2[[#This Row],[Zone]],Table1[Row],Table1[Max Bay],_xleta.NA,0)</f>
        <v>14</v>
      </c>
      <c r="I414" s="1" t="str">
        <f t="shared" si="30"/>
        <v>04</v>
      </c>
      <c r="J414">
        <f t="shared" si="31"/>
        <v>5</v>
      </c>
      <c r="K414" t="str">
        <f>_xlfn.XLOOKUP(Table2[[#This Row],[Row]],Table1[Row],Table1[StartSide],0)</f>
        <v>R</v>
      </c>
      <c r="L414" t="str">
        <f t="shared" si="32"/>
        <v>R</v>
      </c>
      <c r="M414" t="str">
        <f t="shared" si="33"/>
        <v>PS2_C04_5_R</v>
      </c>
    </row>
    <row r="415" spans="1:13" x14ac:dyDescent="0.25">
      <c r="A415" t="s">
        <v>422</v>
      </c>
      <c r="B415" t="s">
        <v>765</v>
      </c>
      <c r="C415" t="s">
        <v>762</v>
      </c>
      <c r="D415">
        <v>6</v>
      </c>
      <c r="E415" t="s">
        <v>752</v>
      </c>
      <c r="F415" t="s">
        <v>780</v>
      </c>
      <c r="G415" t="str">
        <f t="shared" si="34"/>
        <v>C</v>
      </c>
      <c r="H415">
        <f>_xlfn.XLOOKUP(Table2[[#This Row],[Zone]],Table1[Row],Table1[Max Bay],_xleta.NA,0)</f>
        <v>14</v>
      </c>
      <c r="I415" s="1" t="str">
        <f t="shared" si="30"/>
        <v>04</v>
      </c>
      <c r="J415">
        <f t="shared" si="31"/>
        <v>6</v>
      </c>
      <c r="K415" t="str">
        <f>_xlfn.XLOOKUP(Table2[[#This Row],[Row]],Table1[Row],Table1[StartSide],0)</f>
        <v>R</v>
      </c>
      <c r="L415" t="str">
        <f t="shared" si="32"/>
        <v>R</v>
      </c>
      <c r="M415" t="str">
        <f t="shared" si="33"/>
        <v>PS2_C04_6_R</v>
      </c>
    </row>
    <row r="416" spans="1:13" x14ac:dyDescent="0.25">
      <c r="A416" t="s">
        <v>423</v>
      </c>
      <c r="B416" t="s">
        <v>765</v>
      </c>
      <c r="C416" t="s">
        <v>763</v>
      </c>
      <c r="D416">
        <v>2</v>
      </c>
      <c r="E416" t="s">
        <v>751</v>
      </c>
      <c r="F416" t="s">
        <v>780</v>
      </c>
      <c r="G416" t="str">
        <f t="shared" si="34"/>
        <v>C</v>
      </c>
      <c r="H416">
        <f>_xlfn.XLOOKUP(Table2[[#This Row],[Zone]],Table1[Row],Table1[Max Bay],_xleta.NA,0)</f>
        <v>14</v>
      </c>
      <c r="I416" s="1" t="str">
        <f t="shared" si="30"/>
        <v>03</v>
      </c>
      <c r="J416">
        <f t="shared" si="31"/>
        <v>2</v>
      </c>
      <c r="K416" t="str">
        <f>_xlfn.XLOOKUP(Table2[[#This Row],[Row]],Table1[Row],Table1[StartSide],0)</f>
        <v>R</v>
      </c>
      <c r="L416" t="str">
        <f t="shared" si="32"/>
        <v>L</v>
      </c>
      <c r="M416" t="str">
        <f t="shared" si="33"/>
        <v>PS2_C03_2_L</v>
      </c>
    </row>
    <row r="417" spans="1:13" x14ac:dyDescent="0.25">
      <c r="A417" t="s">
        <v>424</v>
      </c>
      <c r="B417" t="s">
        <v>765</v>
      </c>
      <c r="C417" t="s">
        <v>763</v>
      </c>
      <c r="D417">
        <v>2</v>
      </c>
      <c r="E417" t="s">
        <v>752</v>
      </c>
      <c r="F417" t="s">
        <v>780</v>
      </c>
      <c r="G417" t="str">
        <f t="shared" si="34"/>
        <v>C</v>
      </c>
      <c r="H417">
        <f>_xlfn.XLOOKUP(Table2[[#This Row],[Zone]],Table1[Row],Table1[Max Bay],_xleta.NA,0)</f>
        <v>14</v>
      </c>
      <c r="I417" s="1" t="str">
        <f t="shared" si="30"/>
        <v>03</v>
      </c>
      <c r="J417">
        <f t="shared" si="31"/>
        <v>2</v>
      </c>
      <c r="K417" t="str">
        <f>_xlfn.XLOOKUP(Table2[[#This Row],[Row]],Table1[Row],Table1[StartSide],0)</f>
        <v>R</v>
      </c>
      <c r="L417" t="str">
        <f t="shared" si="32"/>
        <v>R</v>
      </c>
      <c r="M417" t="str">
        <f t="shared" si="33"/>
        <v>PS2_C03_2_R</v>
      </c>
    </row>
    <row r="418" spans="1:13" x14ac:dyDescent="0.25">
      <c r="A418" t="s">
        <v>425</v>
      </c>
      <c r="B418" t="s">
        <v>765</v>
      </c>
      <c r="C418" t="s">
        <v>763</v>
      </c>
      <c r="D418">
        <v>3</v>
      </c>
      <c r="E418" t="s">
        <v>751</v>
      </c>
      <c r="F418" t="s">
        <v>780</v>
      </c>
      <c r="G418" t="str">
        <f t="shared" si="34"/>
        <v>C</v>
      </c>
      <c r="H418">
        <f>_xlfn.XLOOKUP(Table2[[#This Row],[Zone]],Table1[Row],Table1[Max Bay],_xleta.NA,0)</f>
        <v>14</v>
      </c>
      <c r="I418" s="1" t="str">
        <f t="shared" si="30"/>
        <v>03</v>
      </c>
      <c r="J418">
        <f t="shared" si="31"/>
        <v>3</v>
      </c>
      <c r="K418" t="str">
        <f>_xlfn.XLOOKUP(Table2[[#This Row],[Row]],Table1[Row],Table1[StartSide],0)</f>
        <v>R</v>
      </c>
      <c r="L418" t="str">
        <f t="shared" si="32"/>
        <v>L</v>
      </c>
      <c r="M418" t="str">
        <f t="shared" si="33"/>
        <v>PS2_C03_3_L</v>
      </c>
    </row>
    <row r="419" spans="1:13" x14ac:dyDescent="0.25">
      <c r="A419" t="s">
        <v>426</v>
      </c>
      <c r="B419" t="s">
        <v>765</v>
      </c>
      <c r="C419" t="s">
        <v>763</v>
      </c>
      <c r="D419">
        <v>3</v>
      </c>
      <c r="E419" t="s">
        <v>752</v>
      </c>
      <c r="F419" t="s">
        <v>780</v>
      </c>
      <c r="G419" t="str">
        <f t="shared" si="34"/>
        <v>C</v>
      </c>
      <c r="H419">
        <f>_xlfn.XLOOKUP(Table2[[#This Row],[Zone]],Table1[Row],Table1[Max Bay],_xleta.NA,0)</f>
        <v>14</v>
      </c>
      <c r="I419" s="1" t="str">
        <f t="shared" si="30"/>
        <v>03</v>
      </c>
      <c r="J419">
        <f t="shared" si="31"/>
        <v>3</v>
      </c>
      <c r="K419" t="str">
        <f>_xlfn.XLOOKUP(Table2[[#This Row],[Row]],Table1[Row],Table1[StartSide],0)</f>
        <v>R</v>
      </c>
      <c r="L419" t="str">
        <f t="shared" si="32"/>
        <v>R</v>
      </c>
      <c r="M419" t="str">
        <f t="shared" si="33"/>
        <v>PS2_C03_3_R</v>
      </c>
    </row>
    <row r="420" spans="1:13" x14ac:dyDescent="0.25">
      <c r="A420" t="s">
        <v>427</v>
      </c>
      <c r="B420" t="s">
        <v>765</v>
      </c>
      <c r="C420" t="s">
        <v>763</v>
      </c>
      <c r="D420">
        <v>4</v>
      </c>
      <c r="E420" t="s">
        <v>751</v>
      </c>
      <c r="F420" t="s">
        <v>780</v>
      </c>
      <c r="G420" t="str">
        <f t="shared" si="34"/>
        <v>C</v>
      </c>
      <c r="H420">
        <f>_xlfn.XLOOKUP(Table2[[#This Row],[Zone]],Table1[Row],Table1[Max Bay],_xleta.NA,0)</f>
        <v>14</v>
      </c>
      <c r="I420" s="1" t="str">
        <f t="shared" si="30"/>
        <v>03</v>
      </c>
      <c r="J420">
        <f t="shared" si="31"/>
        <v>4</v>
      </c>
      <c r="K420" t="str">
        <f>_xlfn.XLOOKUP(Table2[[#This Row],[Row]],Table1[Row],Table1[StartSide],0)</f>
        <v>R</v>
      </c>
      <c r="L420" t="str">
        <f t="shared" si="32"/>
        <v>L</v>
      </c>
      <c r="M420" t="str">
        <f t="shared" si="33"/>
        <v>PS2_C03_4_L</v>
      </c>
    </row>
    <row r="421" spans="1:13" x14ac:dyDescent="0.25">
      <c r="A421" t="s">
        <v>428</v>
      </c>
      <c r="B421" t="s">
        <v>765</v>
      </c>
      <c r="C421" t="s">
        <v>763</v>
      </c>
      <c r="D421">
        <v>4</v>
      </c>
      <c r="E421" t="s">
        <v>752</v>
      </c>
      <c r="F421" t="s">
        <v>780</v>
      </c>
      <c r="G421" t="str">
        <f t="shared" si="34"/>
        <v>C</v>
      </c>
      <c r="H421">
        <f>_xlfn.XLOOKUP(Table2[[#This Row],[Zone]],Table1[Row],Table1[Max Bay],_xleta.NA,0)</f>
        <v>14</v>
      </c>
      <c r="I421" s="1" t="str">
        <f t="shared" si="30"/>
        <v>03</v>
      </c>
      <c r="J421">
        <f t="shared" si="31"/>
        <v>4</v>
      </c>
      <c r="K421" t="str">
        <f>_xlfn.XLOOKUP(Table2[[#This Row],[Row]],Table1[Row],Table1[StartSide],0)</f>
        <v>R</v>
      </c>
      <c r="L421" t="str">
        <f t="shared" si="32"/>
        <v>R</v>
      </c>
      <c r="M421" t="str">
        <f t="shared" si="33"/>
        <v>PS2_C03_4_R</v>
      </c>
    </row>
    <row r="422" spans="1:13" x14ac:dyDescent="0.25">
      <c r="A422" t="s">
        <v>429</v>
      </c>
      <c r="B422" t="s">
        <v>765</v>
      </c>
      <c r="C422" t="s">
        <v>763</v>
      </c>
      <c r="D422">
        <v>5</v>
      </c>
      <c r="E422" t="s">
        <v>751</v>
      </c>
      <c r="F422" t="s">
        <v>780</v>
      </c>
      <c r="G422" t="str">
        <f t="shared" si="34"/>
        <v>C</v>
      </c>
      <c r="H422">
        <f>_xlfn.XLOOKUP(Table2[[#This Row],[Zone]],Table1[Row],Table1[Max Bay],_xleta.NA,0)</f>
        <v>14</v>
      </c>
      <c r="I422" s="1" t="str">
        <f t="shared" si="30"/>
        <v>03</v>
      </c>
      <c r="J422">
        <f t="shared" si="31"/>
        <v>5</v>
      </c>
      <c r="K422" t="str">
        <f>_xlfn.XLOOKUP(Table2[[#This Row],[Row]],Table1[Row],Table1[StartSide],0)</f>
        <v>R</v>
      </c>
      <c r="L422" t="str">
        <f t="shared" si="32"/>
        <v>L</v>
      </c>
      <c r="M422" t="str">
        <f t="shared" si="33"/>
        <v>PS2_C03_5_L</v>
      </c>
    </row>
    <row r="423" spans="1:13" x14ac:dyDescent="0.25">
      <c r="A423" t="s">
        <v>430</v>
      </c>
      <c r="B423" t="s">
        <v>765</v>
      </c>
      <c r="C423" t="s">
        <v>763</v>
      </c>
      <c r="D423">
        <v>5</v>
      </c>
      <c r="E423" t="s">
        <v>752</v>
      </c>
      <c r="F423" t="s">
        <v>780</v>
      </c>
      <c r="G423" t="str">
        <f t="shared" si="34"/>
        <v>C</v>
      </c>
      <c r="H423">
        <f>_xlfn.XLOOKUP(Table2[[#This Row],[Zone]],Table1[Row],Table1[Max Bay],_xleta.NA,0)</f>
        <v>14</v>
      </c>
      <c r="I423" s="1" t="str">
        <f t="shared" si="30"/>
        <v>03</v>
      </c>
      <c r="J423">
        <f t="shared" si="31"/>
        <v>5</v>
      </c>
      <c r="K423" t="str">
        <f>_xlfn.XLOOKUP(Table2[[#This Row],[Row]],Table1[Row],Table1[StartSide],0)</f>
        <v>R</v>
      </c>
      <c r="L423" t="str">
        <f t="shared" si="32"/>
        <v>R</v>
      </c>
      <c r="M423" t="str">
        <f t="shared" si="33"/>
        <v>PS2_C03_5_R</v>
      </c>
    </row>
    <row r="424" spans="1:13" x14ac:dyDescent="0.25">
      <c r="A424" t="s">
        <v>431</v>
      </c>
      <c r="B424" t="s">
        <v>765</v>
      </c>
      <c r="C424" t="s">
        <v>763</v>
      </c>
      <c r="D424">
        <v>6</v>
      </c>
      <c r="E424" t="s">
        <v>751</v>
      </c>
      <c r="F424" t="s">
        <v>780</v>
      </c>
      <c r="G424" t="str">
        <f t="shared" si="34"/>
        <v>C</v>
      </c>
      <c r="H424">
        <f>_xlfn.XLOOKUP(Table2[[#This Row],[Zone]],Table1[Row],Table1[Max Bay],_xleta.NA,0)</f>
        <v>14</v>
      </c>
      <c r="I424" s="1" t="str">
        <f t="shared" si="30"/>
        <v>03</v>
      </c>
      <c r="J424">
        <f t="shared" si="31"/>
        <v>6</v>
      </c>
      <c r="K424" t="str">
        <f>_xlfn.XLOOKUP(Table2[[#This Row],[Row]],Table1[Row],Table1[StartSide],0)</f>
        <v>R</v>
      </c>
      <c r="L424" t="str">
        <f t="shared" si="32"/>
        <v>L</v>
      </c>
      <c r="M424" t="str">
        <f t="shared" si="33"/>
        <v>PS2_C03_6_L</v>
      </c>
    </row>
    <row r="425" spans="1:13" x14ac:dyDescent="0.25">
      <c r="A425" t="s">
        <v>432</v>
      </c>
      <c r="B425" t="s">
        <v>765</v>
      </c>
      <c r="C425" t="s">
        <v>763</v>
      </c>
      <c r="D425">
        <v>6</v>
      </c>
      <c r="E425" t="s">
        <v>752</v>
      </c>
      <c r="F425" t="s">
        <v>780</v>
      </c>
      <c r="G425" t="str">
        <f t="shared" si="34"/>
        <v>C</v>
      </c>
      <c r="H425">
        <f>_xlfn.XLOOKUP(Table2[[#This Row],[Zone]],Table1[Row],Table1[Max Bay],_xleta.NA,0)</f>
        <v>14</v>
      </c>
      <c r="I425" s="1" t="str">
        <f t="shared" si="30"/>
        <v>03</v>
      </c>
      <c r="J425">
        <f t="shared" si="31"/>
        <v>6</v>
      </c>
      <c r="K425" t="str">
        <f>_xlfn.XLOOKUP(Table2[[#This Row],[Row]],Table1[Row],Table1[StartSide],0)</f>
        <v>R</v>
      </c>
      <c r="L425" t="str">
        <f t="shared" si="32"/>
        <v>R</v>
      </c>
      <c r="M425" t="str">
        <f t="shared" si="33"/>
        <v>PS2_C03_6_R</v>
      </c>
    </row>
    <row r="426" spans="1:13" x14ac:dyDescent="0.25">
      <c r="A426" t="s">
        <v>433</v>
      </c>
      <c r="B426" t="s">
        <v>766</v>
      </c>
      <c r="C426" t="s">
        <v>750</v>
      </c>
      <c r="D426">
        <v>1</v>
      </c>
      <c r="E426" t="s">
        <v>751</v>
      </c>
      <c r="F426" t="s">
        <v>780</v>
      </c>
      <c r="G426" t="str">
        <f t="shared" si="34"/>
        <v>D</v>
      </c>
      <c r="H426">
        <f>_xlfn.XLOOKUP(Table2[[#This Row],[Zone]],Table1[Row],Table1[Max Bay],_xleta.NA,0)</f>
        <v>14</v>
      </c>
      <c r="I426" s="1" t="str">
        <f t="shared" si="30"/>
        <v>14</v>
      </c>
      <c r="J426">
        <f t="shared" si="31"/>
        <v>1</v>
      </c>
      <c r="K426" t="str">
        <f>_xlfn.XLOOKUP(Table2[[#This Row],[Row]],Table1[Row],Table1[StartSide],0)</f>
        <v>L</v>
      </c>
      <c r="L426" t="str">
        <f t="shared" si="32"/>
        <v>L</v>
      </c>
      <c r="M426" t="str">
        <f t="shared" si="33"/>
        <v>PS2_D14_1_L</v>
      </c>
    </row>
    <row r="427" spans="1:13" x14ac:dyDescent="0.25">
      <c r="A427" t="s">
        <v>434</v>
      </c>
      <c r="B427" t="s">
        <v>766</v>
      </c>
      <c r="C427" t="s">
        <v>750</v>
      </c>
      <c r="D427">
        <v>1</v>
      </c>
      <c r="E427" t="s">
        <v>752</v>
      </c>
      <c r="F427" t="s">
        <v>780</v>
      </c>
      <c r="G427" t="str">
        <f t="shared" si="34"/>
        <v>D</v>
      </c>
      <c r="H427">
        <f>_xlfn.XLOOKUP(Table2[[#This Row],[Zone]],Table1[Row],Table1[Max Bay],_xleta.NA,0)</f>
        <v>14</v>
      </c>
      <c r="I427" s="1" t="str">
        <f t="shared" si="30"/>
        <v>14</v>
      </c>
      <c r="J427">
        <f t="shared" si="31"/>
        <v>1</v>
      </c>
      <c r="K427" t="str">
        <f>_xlfn.XLOOKUP(Table2[[#This Row],[Row]],Table1[Row],Table1[StartSide],0)</f>
        <v>L</v>
      </c>
      <c r="L427" t="str">
        <f t="shared" si="32"/>
        <v>R</v>
      </c>
      <c r="M427" t="str">
        <f t="shared" si="33"/>
        <v>PS2_D14_1_R</v>
      </c>
    </row>
    <row r="428" spans="1:13" x14ac:dyDescent="0.25">
      <c r="A428" t="s">
        <v>435</v>
      </c>
      <c r="B428" t="s">
        <v>766</v>
      </c>
      <c r="C428" t="s">
        <v>750</v>
      </c>
      <c r="D428">
        <v>2</v>
      </c>
      <c r="E428" t="s">
        <v>751</v>
      </c>
      <c r="F428" t="s">
        <v>780</v>
      </c>
      <c r="G428" t="str">
        <f t="shared" si="34"/>
        <v>D</v>
      </c>
      <c r="H428">
        <f>_xlfn.XLOOKUP(Table2[[#This Row],[Zone]],Table1[Row],Table1[Max Bay],_xleta.NA,0)</f>
        <v>14</v>
      </c>
      <c r="I428" s="1" t="str">
        <f t="shared" si="30"/>
        <v>14</v>
      </c>
      <c r="J428">
        <f t="shared" si="31"/>
        <v>2</v>
      </c>
      <c r="K428" t="str">
        <f>_xlfn.XLOOKUP(Table2[[#This Row],[Row]],Table1[Row],Table1[StartSide],0)</f>
        <v>L</v>
      </c>
      <c r="L428" t="str">
        <f t="shared" si="32"/>
        <v>L</v>
      </c>
      <c r="M428" t="str">
        <f t="shared" si="33"/>
        <v>PS2_D14_2_L</v>
      </c>
    </row>
    <row r="429" spans="1:13" x14ac:dyDescent="0.25">
      <c r="A429" t="s">
        <v>436</v>
      </c>
      <c r="B429" t="s">
        <v>766</v>
      </c>
      <c r="C429" t="s">
        <v>750</v>
      </c>
      <c r="D429">
        <v>2</v>
      </c>
      <c r="E429" t="s">
        <v>752</v>
      </c>
      <c r="F429" t="s">
        <v>780</v>
      </c>
      <c r="G429" t="str">
        <f t="shared" si="34"/>
        <v>D</v>
      </c>
      <c r="H429">
        <f>_xlfn.XLOOKUP(Table2[[#This Row],[Zone]],Table1[Row],Table1[Max Bay],_xleta.NA,0)</f>
        <v>14</v>
      </c>
      <c r="I429" s="1" t="str">
        <f t="shared" si="30"/>
        <v>14</v>
      </c>
      <c r="J429">
        <f t="shared" si="31"/>
        <v>2</v>
      </c>
      <c r="K429" t="str">
        <f>_xlfn.XLOOKUP(Table2[[#This Row],[Row]],Table1[Row],Table1[StartSide],0)</f>
        <v>L</v>
      </c>
      <c r="L429" t="str">
        <f t="shared" si="32"/>
        <v>R</v>
      </c>
      <c r="M429" t="str">
        <f t="shared" si="33"/>
        <v>PS2_D14_2_R</v>
      </c>
    </row>
    <row r="430" spans="1:13" x14ac:dyDescent="0.25">
      <c r="A430" t="s">
        <v>437</v>
      </c>
      <c r="B430" t="s">
        <v>766</v>
      </c>
      <c r="C430" t="s">
        <v>750</v>
      </c>
      <c r="D430">
        <v>3</v>
      </c>
      <c r="E430" t="s">
        <v>751</v>
      </c>
      <c r="F430" t="s">
        <v>780</v>
      </c>
      <c r="G430" t="str">
        <f t="shared" si="34"/>
        <v>D</v>
      </c>
      <c r="H430">
        <f>_xlfn.XLOOKUP(Table2[[#This Row],[Zone]],Table1[Row],Table1[Max Bay],_xleta.NA,0)</f>
        <v>14</v>
      </c>
      <c r="I430" s="1" t="str">
        <f t="shared" si="30"/>
        <v>14</v>
      </c>
      <c r="J430">
        <f t="shared" si="31"/>
        <v>3</v>
      </c>
      <c r="K430" t="str">
        <f>_xlfn.XLOOKUP(Table2[[#This Row],[Row]],Table1[Row],Table1[StartSide],0)</f>
        <v>L</v>
      </c>
      <c r="L430" t="str">
        <f t="shared" si="32"/>
        <v>L</v>
      </c>
      <c r="M430" t="str">
        <f t="shared" si="33"/>
        <v>PS2_D14_3_L</v>
      </c>
    </row>
    <row r="431" spans="1:13" x14ac:dyDescent="0.25">
      <c r="A431" t="s">
        <v>438</v>
      </c>
      <c r="B431" t="s">
        <v>766</v>
      </c>
      <c r="C431" t="s">
        <v>750</v>
      </c>
      <c r="D431">
        <v>3</v>
      </c>
      <c r="E431" t="s">
        <v>752</v>
      </c>
      <c r="F431" t="s">
        <v>780</v>
      </c>
      <c r="G431" t="str">
        <f t="shared" si="34"/>
        <v>D</v>
      </c>
      <c r="H431">
        <f>_xlfn.XLOOKUP(Table2[[#This Row],[Zone]],Table1[Row],Table1[Max Bay],_xleta.NA,0)</f>
        <v>14</v>
      </c>
      <c r="I431" s="1" t="str">
        <f t="shared" si="30"/>
        <v>14</v>
      </c>
      <c r="J431">
        <f t="shared" si="31"/>
        <v>3</v>
      </c>
      <c r="K431" t="str">
        <f>_xlfn.XLOOKUP(Table2[[#This Row],[Row]],Table1[Row],Table1[StartSide],0)</f>
        <v>L</v>
      </c>
      <c r="L431" t="str">
        <f t="shared" si="32"/>
        <v>R</v>
      </c>
      <c r="M431" t="str">
        <f t="shared" si="33"/>
        <v>PS2_D14_3_R</v>
      </c>
    </row>
    <row r="432" spans="1:13" x14ac:dyDescent="0.25">
      <c r="A432" t="s">
        <v>439</v>
      </c>
      <c r="B432" t="s">
        <v>766</v>
      </c>
      <c r="C432" t="s">
        <v>750</v>
      </c>
      <c r="D432">
        <v>4</v>
      </c>
      <c r="E432" t="s">
        <v>751</v>
      </c>
      <c r="F432" t="s">
        <v>780</v>
      </c>
      <c r="G432" t="str">
        <f t="shared" si="34"/>
        <v>D</v>
      </c>
      <c r="H432">
        <f>_xlfn.XLOOKUP(Table2[[#This Row],[Zone]],Table1[Row],Table1[Max Bay],_xleta.NA,0)</f>
        <v>14</v>
      </c>
      <c r="I432" s="1" t="str">
        <f t="shared" si="30"/>
        <v>14</v>
      </c>
      <c r="J432">
        <f t="shared" si="31"/>
        <v>4</v>
      </c>
      <c r="K432" t="str">
        <f>_xlfn.XLOOKUP(Table2[[#This Row],[Row]],Table1[Row],Table1[StartSide],0)</f>
        <v>L</v>
      </c>
      <c r="L432" t="str">
        <f t="shared" si="32"/>
        <v>L</v>
      </c>
      <c r="M432" t="str">
        <f t="shared" si="33"/>
        <v>PS2_D14_4_L</v>
      </c>
    </row>
    <row r="433" spans="1:13" x14ac:dyDescent="0.25">
      <c r="A433" t="s">
        <v>440</v>
      </c>
      <c r="B433" t="s">
        <v>766</v>
      </c>
      <c r="C433" t="s">
        <v>750</v>
      </c>
      <c r="D433">
        <v>4</v>
      </c>
      <c r="E433" t="s">
        <v>752</v>
      </c>
      <c r="F433" t="s">
        <v>780</v>
      </c>
      <c r="G433" t="str">
        <f t="shared" si="34"/>
        <v>D</v>
      </c>
      <c r="H433">
        <f>_xlfn.XLOOKUP(Table2[[#This Row],[Zone]],Table1[Row],Table1[Max Bay],_xleta.NA,0)</f>
        <v>14</v>
      </c>
      <c r="I433" s="1" t="str">
        <f t="shared" si="30"/>
        <v>14</v>
      </c>
      <c r="J433">
        <f t="shared" si="31"/>
        <v>4</v>
      </c>
      <c r="K433" t="str">
        <f>_xlfn.XLOOKUP(Table2[[#This Row],[Row]],Table1[Row],Table1[StartSide],0)</f>
        <v>L</v>
      </c>
      <c r="L433" t="str">
        <f t="shared" si="32"/>
        <v>R</v>
      </c>
      <c r="M433" t="str">
        <f t="shared" si="33"/>
        <v>PS2_D14_4_R</v>
      </c>
    </row>
    <row r="434" spans="1:13" x14ac:dyDescent="0.25">
      <c r="A434" t="s">
        <v>441</v>
      </c>
      <c r="B434" t="s">
        <v>766</v>
      </c>
      <c r="C434" t="s">
        <v>750</v>
      </c>
      <c r="D434">
        <v>5</v>
      </c>
      <c r="E434" t="s">
        <v>751</v>
      </c>
      <c r="F434" t="s">
        <v>780</v>
      </c>
      <c r="G434" t="str">
        <f t="shared" si="34"/>
        <v>D</v>
      </c>
      <c r="H434">
        <f>_xlfn.XLOOKUP(Table2[[#This Row],[Zone]],Table1[Row],Table1[Max Bay],_xleta.NA,0)</f>
        <v>14</v>
      </c>
      <c r="I434" s="1" t="str">
        <f t="shared" si="30"/>
        <v>14</v>
      </c>
      <c r="J434">
        <f t="shared" si="31"/>
        <v>5</v>
      </c>
      <c r="K434" t="str">
        <f>_xlfn.XLOOKUP(Table2[[#This Row],[Row]],Table1[Row],Table1[StartSide],0)</f>
        <v>L</v>
      </c>
      <c r="L434" t="str">
        <f t="shared" si="32"/>
        <v>L</v>
      </c>
      <c r="M434" t="str">
        <f t="shared" si="33"/>
        <v>PS2_D14_5_L</v>
      </c>
    </row>
    <row r="435" spans="1:13" x14ac:dyDescent="0.25">
      <c r="A435" t="s">
        <v>442</v>
      </c>
      <c r="B435" t="s">
        <v>766</v>
      </c>
      <c r="C435" t="s">
        <v>750</v>
      </c>
      <c r="D435">
        <v>5</v>
      </c>
      <c r="E435" t="s">
        <v>752</v>
      </c>
      <c r="F435" t="s">
        <v>780</v>
      </c>
      <c r="G435" t="str">
        <f t="shared" si="34"/>
        <v>D</v>
      </c>
      <c r="H435">
        <f>_xlfn.XLOOKUP(Table2[[#This Row],[Zone]],Table1[Row],Table1[Max Bay],_xleta.NA,0)</f>
        <v>14</v>
      </c>
      <c r="I435" s="1" t="str">
        <f t="shared" si="30"/>
        <v>14</v>
      </c>
      <c r="J435">
        <f t="shared" si="31"/>
        <v>5</v>
      </c>
      <c r="K435" t="str">
        <f>_xlfn.XLOOKUP(Table2[[#This Row],[Row]],Table1[Row],Table1[StartSide],0)</f>
        <v>L</v>
      </c>
      <c r="L435" t="str">
        <f t="shared" si="32"/>
        <v>R</v>
      </c>
      <c r="M435" t="str">
        <f t="shared" si="33"/>
        <v>PS2_D14_5_R</v>
      </c>
    </row>
    <row r="436" spans="1:13" x14ac:dyDescent="0.25">
      <c r="A436" t="s">
        <v>443</v>
      </c>
      <c r="B436" t="s">
        <v>766</v>
      </c>
      <c r="C436" t="s">
        <v>750</v>
      </c>
      <c r="D436">
        <v>6</v>
      </c>
      <c r="E436" t="s">
        <v>751</v>
      </c>
      <c r="F436" t="s">
        <v>780</v>
      </c>
      <c r="G436" t="str">
        <f t="shared" si="34"/>
        <v>D</v>
      </c>
      <c r="H436">
        <f>_xlfn.XLOOKUP(Table2[[#This Row],[Zone]],Table1[Row],Table1[Max Bay],_xleta.NA,0)</f>
        <v>14</v>
      </c>
      <c r="I436" s="1" t="str">
        <f t="shared" si="30"/>
        <v>14</v>
      </c>
      <c r="J436">
        <f t="shared" si="31"/>
        <v>6</v>
      </c>
      <c r="K436" t="str">
        <f>_xlfn.XLOOKUP(Table2[[#This Row],[Row]],Table1[Row],Table1[StartSide],0)</f>
        <v>L</v>
      </c>
      <c r="L436" t="str">
        <f t="shared" si="32"/>
        <v>L</v>
      </c>
      <c r="M436" t="str">
        <f t="shared" si="33"/>
        <v>PS2_D14_6_L</v>
      </c>
    </row>
    <row r="437" spans="1:13" x14ac:dyDescent="0.25">
      <c r="A437" t="s">
        <v>444</v>
      </c>
      <c r="B437" t="s">
        <v>766</v>
      </c>
      <c r="C437" t="s">
        <v>750</v>
      </c>
      <c r="D437">
        <v>6</v>
      </c>
      <c r="E437" t="s">
        <v>752</v>
      </c>
      <c r="F437" t="s">
        <v>780</v>
      </c>
      <c r="G437" t="str">
        <f t="shared" si="34"/>
        <v>D</v>
      </c>
      <c r="H437">
        <f>_xlfn.XLOOKUP(Table2[[#This Row],[Zone]],Table1[Row],Table1[Max Bay],_xleta.NA,0)</f>
        <v>14</v>
      </c>
      <c r="I437" s="1" t="str">
        <f t="shared" si="30"/>
        <v>14</v>
      </c>
      <c r="J437">
        <f t="shared" si="31"/>
        <v>6</v>
      </c>
      <c r="K437" t="str">
        <f>_xlfn.XLOOKUP(Table2[[#This Row],[Row]],Table1[Row],Table1[StartSide],0)</f>
        <v>L</v>
      </c>
      <c r="L437" t="str">
        <f t="shared" si="32"/>
        <v>R</v>
      </c>
      <c r="M437" t="str">
        <f t="shared" si="33"/>
        <v>PS2_D14_6_R</v>
      </c>
    </row>
    <row r="438" spans="1:13" x14ac:dyDescent="0.25">
      <c r="A438" t="s">
        <v>445</v>
      </c>
      <c r="B438" t="s">
        <v>766</v>
      </c>
      <c r="C438" t="s">
        <v>753</v>
      </c>
      <c r="D438">
        <v>1</v>
      </c>
      <c r="E438" t="s">
        <v>751</v>
      </c>
      <c r="F438" t="s">
        <v>780</v>
      </c>
      <c r="G438" t="str">
        <f t="shared" si="34"/>
        <v>D</v>
      </c>
      <c r="H438">
        <f>_xlfn.XLOOKUP(Table2[[#This Row],[Zone]],Table1[Row],Table1[Max Bay],_xleta.NA,0)</f>
        <v>14</v>
      </c>
      <c r="I438" s="1" t="str">
        <f t="shared" si="30"/>
        <v>13</v>
      </c>
      <c r="J438">
        <f t="shared" si="31"/>
        <v>1</v>
      </c>
      <c r="K438" t="str">
        <f>_xlfn.XLOOKUP(Table2[[#This Row],[Row]],Table1[Row],Table1[StartSide],0)</f>
        <v>L</v>
      </c>
      <c r="L438" t="str">
        <f t="shared" si="32"/>
        <v>L</v>
      </c>
      <c r="M438" t="str">
        <f t="shared" si="33"/>
        <v>PS2_D13_1_L</v>
      </c>
    </row>
    <row r="439" spans="1:13" x14ac:dyDescent="0.25">
      <c r="A439" t="s">
        <v>446</v>
      </c>
      <c r="B439" t="s">
        <v>766</v>
      </c>
      <c r="C439" t="s">
        <v>753</v>
      </c>
      <c r="D439">
        <v>1</v>
      </c>
      <c r="E439" t="s">
        <v>752</v>
      </c>
      <c r="F439" t="s">
        <v>780</v>
      </c>
      <c r="G439" t="str">
        <f t="shared" si="34"/>
        <v>D</v>
      </c>
      <c r="H439">
        <f>_xlfn.XLOOKUP(Table2[[#This Row],[Zone]],Table1[Row],Table1[Max Bay],_xleta.NA,0)</f>
        <v>14</v>
      </c>
      <c r="I439" s="1" t="str">
        <f t="shared" si="30"/>
        <v>13</v>
      </c>
      <c r="J439">
        <f t="shared" si="31"/>
        <v>1</v>
      </c>
      <c r="K439" t="str">
        <f>_xlfn.XLOOKUP(Table2[[#This Row],[Row]],Table1[Row],Table1[StartSide],0)</f>
        <v>L</v>
      </c>
      <c r="L439" t="str">
        <f t="shared" si="32"/>
        <v>R</v>
      </c>
      <c r="M439" t="str">
        <f t="shared" si="33"/>
        <v>PS2_D13_1_R</v>
      </c>
    </row>
    <row r="440" spans="1:13" x14ac:dyDescent="0.25">
      <c r="A440" t="s">
        <v>447</v>
      </c>
      <c r="B440" t="s">
        <v>766</v>
      </c>
      <c r="C440" t="s">
        <v>753</v>
      </c>
      <c r="D440">
        <v>2</v>
      </c>
      <c r="E440" t="s">
        <v>751</v>
      </c>
      <c r="F440" t="s">
        <v>780</v>
      </c>
      <c r="G440" t="str">
        <f t="shared" si="34"/>
        <v>D</v>
      </c>
      <c r="H440">
        <f>_xlfn.XLOOKUP(Table2[[#This Row],[Zone]],Table1[Row],Table1[Max Bay],_xleta.NA,0)</f>
        <v>14</v>
      </c>
      <c r="I440" s="1" t="str">
        <f t="shared" si="30"/>
        <v>13</v>
      </c>
      <c r="J440">
        <f t="shared" si="31"/>
        <v>2</v>
      </c>
      <c r="K440" t="str">
        <f>_xlfn.XLOOKUP(Table2[[#This Row],[Row]],Table1[Row],Table1[StartSide],0)</f>
        <v>L</v>
      </c>
      <c r="L440" t="str">
        <f t="shared" si="32"/>
        <v>L</v>
      </c>
      <c r="M440" t="str">
        <f t="shared" si="33"/>
        <v>PS2_D13_2_L</v>
      </c>
    </row>
    <row r="441" spans="1:13" x14ac:dyDescent="0.25">
      <c r="A441" t="s">
        <v>448</v>
      </c>
      <c r="B441" t="s">
        <v>766</v>
      </c>
      <c r="C441" t="s">
        <v>753</v>
      </c>
      <c r="D441">
        <v>2</v>
      </c>
      <c r="E441" t="s">
        <v>752</v>
      </c>
      <c r="F441" t="s">
        <v>780</v>
      </c>
      <c r="G441" t="str">
        <f t="shared" si="34"/>
        <v>D</v>
      </c>
      <c r="H441">
        <f>_xlfn.XLOOKUP(Table2[[#This Row],[Zone]],Table1[Row],Table1[Max Bay],_xleta.NA,0)</f>
        <v>14</v>
      </c>
      <c r="I441" s="1" t="str">
        <f t="shared" si="30"/>
        <v>13</v>
      </c>
      <c r="J441">
        <f t="shared" si="31"/>
        <v>2</v>
      </c>
      <c r="K441" t="str">
        <f>_xlfn.XLOOKUP(Table2[[#This Row],[Row]],Table1[Row],Table1[StartSide],0)</f>
        <v>L</v>
      </c>
      <c r="L441" t="str">
        <f t="shared" si="32"/>
        <v>R</v>
      </c>
      <c r="M441" t="str">
        <f t="shared" si="33"/>
        <v>PS2_D13_2_R</v>
      </c>
    </row>
    <row r="442" spans="1:13" x14ac:dyDescent="0.25">
      <c r="A442" t="s">
        <v>449</v>
      </c>
      <c r="B442" t="s">
        <v>766</v>
      </c>
      <c r="C442" t="s">
        <v>753</v>
      </c>
      <c r="D442">
        <v>3</v>
      </c>
      <c r="E442" t="s">
        <v>751</v>
      </c>
      <c r="F442" t="s">
        <v>780</v>
      </c>
      <c r="G442" t="str">
        <f t="shared" si="34"/>
        <v>D</v>
      </c>
      <c r="H442">
        <f>_xlfn.XLOOKUP(Table2[[#This Row],[Zone]],Table1[Row],Table1[Max Bay],_xleta.NA,0)</f>
        <v>14</v>
      </c>
      <c r="I442" s="1" t="str">
        <f t="shared" si="30"/>
        <v>13</v>
      </c>
      <c r="J442">
        <f t="shared" si="31"/>
        <v>3</v>
      </c>
      <c r="K442" t="str">
        <f>_xlfn.XLOOKUP(Table2[[#This Row],[Row]],Table1[Row],Table1[StartSide],0)</f>
        <v>L</v>
      </c>
      <c r="L442" t="str">
        <f t="shared" si="32"/>
        <v>L</v>
      </c>
      <c r="M442" t="str">
        <f t="shared" si="33"/>
        <v>PS2_D13_3_L</v>
      </c>
    </row>
    <row r="443" spans="1:13" x14ac:dyDescent="0.25">
      <c r="A443" t="s">
        <v>450</v>
      </c>
      <c r="B443" t="s">
        <v>766</v>
      </c>
      <c r="C443" t="s">
        <v>753</v>
      </c>
      <c r="D443">
        <v>3</v>
      </c>
      <c r="E443" t="s">
        <v>752</v>
      </c>
      <c r="F443" t="s">
        <v>780</v>
      </c>
      <c r="G443" t="str">
        <f t="shared" si="34"/>
        <v>D</v>
      </c>
      <c r="H443">
        <f>_xlfn.XLOOKUP(Table2[[#This Row],[Zone]],Table1[Row],Table1[Max Bay],_xleta.NA,0)</f>
        <v>14</v>
      </c>
      <c r="I443" s="1" t="str">
        <f t="shared" si="30"/>
        <v>13</v>
      </c>
      <c r="J443">
        <f t="shared" si="31"/>
        <v>3</v>
      </c>
      <c r="K443" t="str">
        <f>_xlfn.XLOOKUP(Table2[[#This Row],[Row]],Table1[Row],Table1[StartSide],0)</f>
        <v>L</v>
      </c>
      <c r="L443" t="str">
        <f t="shared" si="32"/>
        <v>R</v>
      </c>
      <c r="M443" t="str">
        <f t="shared" si="33"/>
        <v>PS2_D13_3_R</v>
      </c>
    </row>
    <row r="444" spans="1:13" x14ac:dyDescent="0.25">
      <c r="A444" t="s">
        <v>451</v>
      </c>
      <c r="B444" t="s">
        <v>766</v>
      </c>
      <c r="C444" t="s">
        <v>753</v>
      </c>
      <c r="D444">
        <v>4</v>
      </c>
      <c r="E444" t="s">
        <v>751</v>
      </c>
      <c r="F444" t="s">
        <v>780</v>
      </c>
      <c r="G444" t="str">
        <f t="shared" si="34"/>
        <v>D</v>
      </c>
      <c r="H444">
        <f>_xlfn.XLOOKUP(Table2[[#This Row],[Zone]],Table1[Row],Table1[Max Bay],_xleta.NA,0)</f>
        <v>14</v>
      </c>
      <c r="I444" s="1" t="str">
        <f t="shared" si="30"/>
        <v>13</v>
      </c>
      <c r="J444">
        <f t="shared" si="31"/>
        <v>4</v>
      </c>
      <c r="K444" t="str">
        <f>_xlfn.XLOOKUP(Table2[[#This Row],[Row]],Table1[Row],Table1[StartSide],0)</f>
        <v>L</v>
      </c>
      <c r="L444" t="str">
        <f t="shared" si="32"/>
        <v>L</v>
      </c>
      <c r="M444" t="str">
        <f t="shared" si="33"/>
        <v>PS2_D13_4_L</v>
      </c>
    </row>
    <row r="445" spans="1:13" x14ac:dyDescent="0.25">
      <c r="A445" t="s">
        <v>452</v>
      </c>
      <c r="B445" t="s">
        <v>766</v>
      </c>
      <c r="C445" t="s">
        <v>753</v>
      </c>
      <c r="D445">
        <v>4</v>
      </c>
      <c r="E445" t="s">
        <v>752</v>
      </c>
      <c r="F445" t="s">
        <v>780</v>
      </c>
      <c r="G445" t="str">
        <f t="shared" si="34"/>
        <v>D</v>
      </c>
      <c r="H445">
        <f>_xlfn.XLOOKUP(Table2[[#This Row],[Zone]],Table1[Row],Table1[Max Bay],_xleta.NA,0)</f>
        <v>14</v>
      </c>
      <c r="I445" s="1" t="str">
        <f t="shared" si="30"/>
        <v>13</v>
      </c>
      <c r="J445">
        <f t="shared" si="31"/>
        <v>4</v>
      </c>
      <c r="K445" t="str">
        <f>_xlfn.XLOOKUP(Table2[[#This Row],[Row]],Table1[Row],Table1[StartSide],0)</f>
        <v>L</v>
      </c>
      <c r="L445" t="str">
        <f t="shared" si="32"/>
        <v>R</v>
      </c>
      <c r="M445" t="str">
        <f t="shared" si="33"/>
        <v>PS2_D13_4_R</v>
      </c>
    </row>
    <row r="446" spans="1:13" x14ac:dyDescent="0.25">
      <c r="A446" t="s">
        <v>453</v>
      </c>
      <c r="B446" t="s">
        <v>766</v>
      </c>
      <c r="C446" t="s">
        <v>753</v>
      </c>
      <c r="D446">
        <v>5</v>
      </c>
      <c r="E446" t="s">
        <v>751</v>
      </c>
      <c r="F446" t="s">
        <v>780</v>
      </c>
      <c r="G446" t="str">
        <f t="shared" si="34"/>
        <v>D</v>
      </c>
      <c r="H446">
        <f>_xlfn.XLOOKUP(Table2[[#This Row],[Zone]],Table1[Row],Table1[Max Bay],_xleta.NA,0)</f>
        <v>14</v>
      </c>
      <c r="I446" s="1" t="str">
        <f t="shared" si="30"/>
        <v>13</v>
      </c>
      <c r="J446">
        <f t="shared" si="31"/>
        <v>5</v>
      </c>
      <c r="K446" t="str">
        <f>_xlfn.XLOOKUP(Table2[[#This Row],[Row]],Table1[Row],Table1[StartSide],0)</f>
        <v>L</v>
      </c>
      <c r="L446" t="str">
        <f t="shared" si="32"/>
        <v>L</v>
      </c>
      <c r="M446" t="str">
        <f t="shared" si="33"/>
        <v>PS2_D13_5_L</v>
      </c>
    </row>
    <row r="447" spans="1:13" x14ac:dyDescent="0.25">
      <c r="A447" t="s">
        <v>454</v>
      </c>
      <c r="B447" t="s">
        <v>766</v>
      </c>
      <c r="C447" t="s">
        <v>753</v>
      </c>
      <c r="D447">
        <v>5</v>
      </c>
      <c r="E447" t="s">
        <v>752</v>
      </c>
      <c r="F447" t="s">
        <v>780</v>
      </c>
      <c r="G447" t="str">
        <f t="shared" si="34"/>
        <v>D</v>
      </c>
      <c r="H447">
        <f>_xlfn.XLOOKUP(Table2[[#This Row],[Zone]],Table1[Row],Table1[Max Bay],_xleta.NA,0)</f>
        <v>14</v>
      </c>
      <c r="I447" s="1" t="str">
        <f t="shared" si="30"/>
        <v>13</v>
      </c>
      <c r="J447">
        <f t="shared" si="31"/>
        <v>5</v>
      </c>
      <c r="K447" t="str">
        <f>_xlfn.XLOOKUP(Table2[[#This Row],[Row]],Table1[Row],Table1[StartSide],0)</f>
        <v>L</v>
      </c>
      <c r="L447" t="str">
        <f t="shared" si="32"/>
        <v>R</v>
      </c>
      <c r="M447" t="str">
        <f t="shared" si="33"/>
        <v>PS2_D13_5_R</v>
      </c>
    </row>
    <row r="448" spans="1:13" x14ac:dyDescent="0.25">
      <c r="A448" t="s">
        <v>455</v>
      </c>
      <c r="B448" t="s">
        <v>766</v>
      </c>
      <c r="C448" t="s">
        <v>753</v>
      </c>
      <c r="D448">
        <v>6</v>
      </c>
      <c r="E448" t="s">
        <v>751</v>
      </c>
      <c r="F448" t="s">
        <v>780</v>
      </c>
      <c r="G448" t="str">
        <f t="shared" si="34"/>
        <v>D</v>
      </c>
      <c r="H448">
        <f>_xlfn.XLOOKUP(Table2[[#This Row],[Zone]],Table1[Row],Table1[Max Bay],_xleta.NA,0)</f>
        <v>14</v>
      </c>
      <c r="I448" s="1" t="str">
        <f t="shared" si="30"/>
        <v>13</v>
      </c>
      <c r="J448">
        <f t="shared" si="31"/>
        <v>6</v>
      </c>
      <c r="K448" t="str">
        <f>_xlfn.XLOOKUP(Table2[[#This Row],[Row]],Table1[Row],Table1[StartSide],0)</f>
        <v>L</v>
      </c>
      <c r="L448" t="str">
        <f t="shared" si="32"/>
        <v>L</v>
      </c>
      <c r="M448" t="str">
        <f t="shared" si="33"/>
        <v>PS2_D13_6_L</v>
      </c>
    </row>
    <row r="449" spans="1:13" x14ac:dyDescent="0.25">
      <c r="A449" t="s">
        <v>456</v>
      </c>
      <c r="B449" t="s">
        <v>766</v>
      </c>
      <c r="C449" t="s">
        <v>753</v>
      </c>
      <c r="D449">
        <v>6</v>
      </c>
      <c r="E449" t="s">
        <v>752</v>
      </c>
      <c r="F449" t="s">
        <v>780</v>
      </c>
      <c r="G449" t="str">
        <f t="shared" si="34"/>
        <v>D</v>
      </c>
      <c r="H449">
        <f>_xlfn.XLOOKUP(Table2[[#This Row],[Zone]],Table1[Row],Table1[Max Bay],_xleta.NA,0)</f>
        <v>14</v>
      </c>
      <c r="I449" s="1" t="str">
        <f t="shared" si="30"/>
        <v>13</v>
      </c>
      <c r="J449">
        <f t="shared" si="31"/>
        <v>6</v>
      </c>
      <c r="K449" t="str">
        <f>_xlfn.XLOOKUP(Table2[[#This Row],[Row]],Table1[Row],Table1[StartSide],0)</f>
        <v>L</v>
      </c>
      <c r="L449" t="str">
        <f t="shared" si="32"/>
        <v>R</v>
      </c>
      <c r="M449" t="str">
        <f t="shared" si="33"/>
        <v>PS2_D13_6_R</v>
      </c>
    </row>
    <row r="450" spans="1:13" x14ac:dyDescent="0.25">
      <c r="A450" t="s">
        <v>457</v>
      </c>
      <c r="B450" t="s">
        <v>766</v>
      </c>
      <c r="C450" t="s">
        <v>754</v>
      </c>
      <c r="D450">
        <v>1</v>
      </c>
      <c r="E450" t="s">
        <v>751</v>
      </c>
      <c r="F450" t="s">
        <v>780</v>
      </c>
      <c r="G450" t="str">
        <f t="shared" si="34"/>
        <v>D</v>
      </c>
      <c r="H450">
        <f>_xlfn.XLOOKUP(Table2[[#This Row],[Zone]],Table1[Row],Table1[Max Bay],_xleta.NA,0)</f>
        <v>14</v>
      </c>
      <c r="I450" s="1" t="str">
        <f t="shared" ref="I450:I513" si="35">TEXT(H450-INT(C450)+1,"00")</f>
        <v>12</v>
      </c>
      <c r="J450">
        <f t="shared" ref="J450:J513" si="36">D450</f>
        <v>1</v>
      </c>
      <c r="K450" t="str">
        <f>_xlfn.XLOOKUP(Table2[[#This Row],[Row]],Table1[Row],Table1[StartSide],0)</f>
        <v>L</v>
      </c>
      <c r="L450" t="str">
        <f t="shared" ref="L450:L513" si="37">E450</f>
        <v>L</v>
      </c>
      <c r="M450" t="str">
        <f t="shared" ref="M450:M513" si="38">_xlfn.CONCAT(F450,"_",G450,I450,"_",J450,"_",L450)</f>
        <v>PS2_D12_1_L</v>
      </c>
    </row>
    <row r="451" spans="1:13" x14ac:dyDescent="0.25">
      <c r="A451" t="s">
        <v>458</v>
      </c>
      <c r="B451" t="s">
        <v>766</v>
      </c>
      <c r="C451" t="s">
        <v>754</v>
      </c>
      <c r="D451">
        <v>1</v>
      </c>
      <c r="E451" t="s">
        <v>752</v>
      </c>
      <c r="F451" t="s">
        <v>780</v>
      </c>
      <c r="G451" t="str">
        <f t="shared" ref="G451:G514" si="39">B451</f>
        <v>D</v>
      </c>
      <c r="H451">
        <f>_xlfn.XLOOKUP(Table2[[#This Row],[Zone]],Table1[Row],Table1[Max Bay],_xleta.NA,0)</f>
        <v>14</v>
      </c>
      <c r="I451" s="1" t="str">
        <f t="shared" si="35"/>
        <v>12</v>
      </c>
      <c r="J451">
        <f t="shared" si="36"/>
        <v>1</v>
      </c>
      <c r="K451" t="str">
        <f>_xlfn.XLOOKUP(Table2[[#This Row],[Row]],Table1[Row],Table1[StartSide],0)</f>
        <v>L</v>
      </c>
      <c r="L451" t="str">
        <f t="shared" si="37"/>
        <v>R</v>
      </c>
      <c r="M451" t="str">
        <f t="shared" si="38"/>
        <v>PS2_D12_1_R</v>
      </c>
    </row>
    <row r="452" spans="1:13" x14ac:dyDescent="0.25">
      <c r="A452" t="s">
        <v>459</v>
      </c>
      <c r="B452" t="s">
        <v>766</v>
      </c>
      <c r="C452" t="s">
        <v>754</v>
      </c>
      <c r="D452">
        <v>2</v>
      </c>
      <c r="E452" t="s">
        <v>751</v>
      </c>
      <c r="F452" t="s">
        <v>780</v>
      </c>
      <c r="G452" t="str">
        <f t="shared" si="39"/>
        <v>D</v>
      </c>
      <c r="H452">
        <f>_xlfn.XLOOKUP(Table2[[#This Row],[Zone]],Table1[Row],Table1[Max Bay],_xleta.NA,0)</f>
        <v>14</v>
      </c>
      <c r="I452" s="1" t="str">
        <f t="shared" si="35"/>
        <v>12</v>
      </c>
      <c r="J452">
        <f t="shared" si="36"/>
        <v>2</v>
      </c>
      <c r="K452" t="str">
        <f>_xlfn.XLOOKUP(Table2[[#This Row],[Row]],Table1[Row],Table1[StartSide],0)</f>
        <v>L</v>
      </c>
      <c r="L452" t="str">
        <f t="shared" si="37"/>
        <v>L</v>
      </c>
      <c r="M452" t="str">
        <f t="shared" si="38"/>
        <v>PS2_D12_2_L</v>
      </c>
    </row>
    <row r="453" spans="1:13" x14ac:dyDescent="0.25">
      <c r="A453" t="s">
        <v>460</v>
      </c>
      <c r="B453" t="s">
        <v>766</v>
      </c>
      <c r="C453" t="s">
        <v>754</v>
      </c>
      <c r="D453">
        <v>2</v>
      </c>
      <c r="E453" t="s">
        <v>752</v>
      </c>
      <c r="F453" t="s">
        <v>780</v>
      </c>
      <c r="G453" t="str">
        <f t="shared" si="39"/>
        <v>D</v>
      </c>
      <c r="H453">
        <f>_xlfn.XLOOKUP(Table2[[#This Row],[Zone]],Table1[Row],Table1[Max Bay],_xleta.NA,0)</f>
        <v>14</v>
      </c>
      <c r="I453" s="1" t="str">
        <f t="shared" si="35"/>
        <v>12</v>
      </c>
      <c r="J453">
        <f t="shared" si="36"/>
        <v>2</v>
      </c>
      <c r="K453" t="str">
        <f>_xlfn.XLOOKUP(Table2[[#This Row],[Row]],Table1[Row],Table1[StartSide],0)</f>
        <v>L</v>
      </c>
      <c r="L453" t="str">
        <f t="shared" si="37"/>
        <v>R</v>
      </c>
      <c r="M453" t="str">
        <f t="shared" si="38"/>
        <v>PS2_D12_2_R</v>
      </c>
    </row>
    <row r="454" spans="1:13" x14ac:dyDescent="0.25">
      <c r="A454" t="s">
        <v>461</v>
      </c>
      <c r="B454" t="s">
        <v>766</v>
      </c>
      <c r="C454" t="s">
        <v>754</v>
      </c>
      <c r="D454">
        <v>3</v>
      </c>
      <c r="E454" t="s">
        <v>751</v>
      </c>
      <c r="F454" t="s">
        <v>780</v>
      </c>
      <c r="G454" t="str">
        <f t="shared" si="39"/>
        <v>D</v>
      </c>
      <c r="H454">
        <f>_xlfn.XLOOKUP(Table2[[#This Row],[Zone]],Table1[Row],Table1[Max Bay],_xleta.NA,0)</f>
        <v>14</v>
      </c>
      <c r="I454" s="1" t="str">
        <f t="shared" si="35"/>
        <v>12</v>
      </c>
      <c r="J454">
        <f t="shared" si="36"/>
        <v>3</v>
      </c>
      <c r="K454" t="str">
        <f>_xlfn.XLOOKUP(Table2[[#This Row],[Row]],Table1[Row],Table1[StartSide],0)</f>
        <v>L</v>
      </c>
      <c r="L454" t="str">
        <f t="shared" si="37"/>
        <v>L</v>
      </c>
      <c r="M454" t="str">
        <f t="shared" si="38"/>
        <v>PS2_D12_3_L</v>
      </c>
    </row>
    <row r="455" spans="1:13" x14ac:dyDescent="0.25">
      <c r="A455" t="s">
        <v>462</v>
      </c>
      <c r="B455" t="s">
        <v>766</v>
      </c>
      <c r="C455" t="s">
        <v>754</v>
      </c>
      <c r="D455">
        <v>3</v>
      </c>
      <c r="E455" t="s">
        <v>752</v>
      </c>
      <c r="F455" t="s">
        <v>780</v>
      </c>
      <c r="G455" t="str">
        <f t="shared" si="39"/>
        <v>D</v>
      </c>
      <c r="H455">
        <f>_xlfn.XLOOKUP(Table2[[#This Row],[Zone]],Table1[Row],Table1[Max Bay],_xleta.NA,0)</f>
        <v>14</v>
      </c>
      <c r="I455" s="1" t="str">
        <f t="shared" si="35"/>
        <v>12</v>
      </c>
      <c r="J455">
        <f t="shared" si="36"/>
        <v>3</v>
      </c>
      <c r="K455" t="str">
        <f>_xlfn.XLOOKUP(Table2[[#This Row],[Row]],Table1[Row],Table1[StartSide],0)</f>
        <v>L</v>
      </c>
      <c r="L455" t="str">
        <f t="shared" si="37"/>
        <v>R</v>
      </c>
      <c r="M455" t="str">
        <f t="shared" si="38"/>
        <v>PS2_D12_3_R</v>
      </c>
    </row>
    <row r="456" spans="1:13" x14ac:dyDescent="0.25">
      <c r="A456" t="s">
        <v>463</v>
      </c>
      <c r="B456" t="s">
        <v>766</v>
      </c>
      <c r="C456" t="s">
        <v>754</v>
      </c>
      <c r="D456">
        <v>4</v>
      </c>
      <c r="E456" t="s">
        <v>751</v>
      </c>
      <c r="F456" t="s">
        <v>780</v>
      </c>
      <c r="G456" t="str">
        <f t="shared" si="39"/>
        <v>D</v>
      </c>
      <c r="H456">
        <f>_xlfn.XLOOKUP(Table2[[#This Row],[Zone]],Table1[Row],Table1[Max Bay],_xleta.NA,0)</f>
        <v>14</v>
      </c>
      <c r="I456" s="1" t="str">
        <f t="shared" si="35"/>
        <v>12</v>
      </c>
      <c r="J456">
        <f t="shared" si="36"/>
        <v>4</v>
      </c>
      <c r="K456" t="str">
        <f>_xlfn.XLOOKUP(Table2[[#This Row],[Row]],Table1[Row],Table1[StartSide],0)</f>
        <v>L</v>
      </c>
      <c r="L456" t="str">
        <f t="shared" si="37"/>
        <v>L</v>
      </c>
      <c r="M456" t="str">
        <f t="shared" si="38"/>
        <v>PS2_D12_4_L</v>
      </c>
    </row>
    <row r="457" spans="1:13" x14ac:dyDescent="0.25">
      <c r="A457" t="s">
        <v>464</v>
      </c>
      <c r="B457" t="s">
        <v>766</v>
      </c>
      <c r="C457" t="s">
        <v>754</v>
      </c>
      <c r="D457">
        <v>4</v>
      </c>
      <c r="E457" t="s">
        <v>752</v>
      </c>
      <c r="F457" t="s">
        <v>780</v>
      </c>
      <c r="G457" t="str">
        <f t="shared" si="39"/>
        <v>D</v>
      </c>
      <c r="H457">
        <f>_xlfn.XLOOKUP(Table2[[#This Row],[Zone]],Table1[Row],Table1[Max Bay],_xleta.NA,0)</f>
        <v>14</v>
      </c>
      <c r="I457" s="1" t="str">
        <f t="shared" si="35"/>
        <v>12</v>
      </c>
      <c r="J457">
        <f t="shared" si="36"/>
        <v>4</v>
      </c>
      <c r="K457" t="str">
        <f>_xlfn.XLOOKUP(Table2[[#This Row],[Row]],Table1[Row],Table1[StartSide],0)</f>
        <v>L</v>
      </c>
      <c r="L457" t="str">
        <f t="shared" si="37"/>
        <v>R</v>
      </c>
      <c r="M457" t="str">
        <f t="shared" si="38"/>
        <v>PS2_D12_4_R</v>
      </c>
    </row>
    <row r="458" spans="1:13" x14ac:dyDescent="0.25">
      <c r="A458" t="s">
        <v>465</v>
      </c>
      <c r="B458" t="s">
        <v>766</v>
      </c>
      <c r="C458" t="s">
        <v>754</v>
      </c>
      <c r="D458">
        <v>5</v>
      </c>
      <c r="E458" t="s">
        <v>751</v>
      </c>
      <c r="F458" t="s">
        <v>780</v>
      </c>
      <c r="G458" t="str">
        <f t="shared" si="39"/>
        <v>D</v>
      </c>
      <c r="H458">
        <f>_xlfn.XLOOKUP(Table2[[#This Row],[Zone]],Table1[Row],Table1[Max Bay],_xleta.NA,0)</f>
        <v>14</v>
      </c>
      <c r="I458" s="1" t="str">
        <f t="shared" si="35"/>
        <v>12</v>
      </c>
      <c r="J458">
        <f t="shared" si="36"/>
        <v>5</v>
      </c>
      <c r="K458" t="str">
        <f>_xlfn.XLOOKUP(Table2[[#This Row],[Row]],Table1[Row],Table1[StartSide],0)</f>
        <v>L</v>
      </c>
      <c r="L458" t="str">
        <f t="shared" si="37"/>
        <v>L</v>
      </c>
      <c r="M458" t="str">
        <f t="shared" si="38"/>
        <v>PS2_D12_5_L</v>
      </c>
    </row>
    <row r="459" spans="1:13" x14ac:dyDescent="0.25">
      <c r="A459" t="s">
        <v>466</v>
      </c>
      <c r="B459" t="s">
        <v>766</v>
      </c>
      <c r="C459" t="s">
        <v>754</v>
      </c>
      <c r="D459">
        <v>5</v>
      </c>
      <c r="E459" t="s">
        <v>752</v>
      </c>
      <c r="F459" t="s">
        <v>780</v>
      </c>
      <c r="G459" t="str">
        <f t="shared" si="39"/>
        <v>D</v>
      </c>
      <c r="H459">
        <f>_xlfn.XLOOKUP(Table2[[#This Row],[Zone]],Table1[Row],Table1[Max Bay],_xleta.NA,0)</f>
        <v>14</v>
      </c>
      <c r="I459" s="1" t="str">
        <f t="shared" si="35"/>
        <v>12</v>
      </c>
      <c r="J459">
        <f t="shared" si="36"/>
        <v>5</v>
      </c>
      <c r="K459" t="str">
        <f>_xlfn.XLOOKUP(Table2[[#This Row],[Row]],Table1[Row],Table1[StartSide],0)</f>
        <v>L</v>
      </c>
      <c r="L459" t="str">
        <f t="shared" si="37"/>
        <v>R</v>
      </c>
      <c r="M459" t="str">
        <f t="shared" si="38"/>
        <v>PS2_D12_5_R</v>
      </c>
    </row>
    <row r="460" spans="1:13" x14ac:dyDescent="0.25">
      <c r="A460" t="s">
        <v>467</v>
      </c>
      <c r="B460" t="s">
        <v>766</v>
      </c>
      <c r="C460" t="s">
        <v>754</v>
      </c>
      <c r="D460">
        <v>6</v>
      </c>
      <c r="E460" t="s">
        <v>751</v>
      </c>
      <c r="F460" t="s">
        <v>780</v>
      </c>
      <c r="G460" t="str">
        <f t="shared" si="39"/>
        <v>D</v>
      </c>
      <c r="H460">
        <f>_xlfn.XLOOKUP(Table2[[#This Row],[Zone]],Table1[Row],Table1[Max Bay],_xleta.NA,0)</f>
        <v>14</v>
      </c>
      <c r="I460" s="1" t="str">
        <f t="shared" si="35"/>
        <v>12</v>
      </c>
      <c r="J460">
        <f t="shared" si="36"/>
        <v>6</v>
      </c>
      <c r="K460" t="str">
        <f>_xlfn.XLOOKUP(Table2[[#This Row],[Row]],Table1[Row],Table1[StartSide],0)</f>
        <v>L</v>
      </c>
      <c r="L460" t="str">
        <f t="shared" si="37"/>
        <v>L</v>
      </c>
      <c r="M460" t="str">
        <f t="shared" si="38"/>
        <v>PS2_D12_6_L</v>
      </c>
    </row>
    <row r="461" spans="1:13" x14ac:dyDescent="0.25">
      <c r="A461" t="s">
        <v>468</v>
      </c>
      <c r="B461" t="s">
        <v>766</v>
      </c>
      <c r="C461" t="s">
        <v>754</v>
      </c>
      <c r="D461">
        <v>6</v>
      </c>
      <c r="E461" t="s">
        <v>752</v>
      </c>
      <c r="F461" t="s">
        <v>780</v>
      </c>
      <c r="G461" t="str">
        <f t="shared" si="39"/>
        <v>D</v>
      </c>
      <c r="H461">
        <f>_xlfn.XLOOKUP(Table2[[#This Row],[Zone]],Table1[Row],Table1[Max Bay],_xleta.NA,0)</f>
        <v>14</v>
      </c>
      <c r="I461" s="1" t="str">
        <f t="shared" si="35"/>
        <v>12</v>
      </c>
      <c r="J461">
        <f t="shared" si="36"/>
        <v>6</v>
      </c>
      <c r="K461" t="str">
        <f>_xlfn.XLOOKUP(Table2[[#This Row],[Row]],Table1[Row],Table1[StartSide],0)</f>
        <v>L</v>
      </c>
      <c r="L461" t="str">
        <f t="shared" si="37"/>
        <v>R</v>
      </c>
      <c r="M461" t="str">
        <f t="shared" si="38"/>
        <v>PS2_D12_6_R</v>
      </c>
    </row>
    <row r="462" spans="1:13" x14ac:dyDescent="0.25">
      <c r="A462" t="s">
        <v>469</v>
      </c>
      <c r="B462" t="s">
        <v>766</v>
      </c>
      <c r="C462" t="s">
        <v>755</v>
      </c>
      <c r="D462">
        <v>1</v>
      </c>
      <c r="E462" t="s">
        <v>751</v>
      </c>
      <c r="F462" t="s">
        <v>780</v>
      </c>
      <c r="G462" t="str">
        <f t="shared" si="39"/>
        <v>D</v>
      </c>
      <c r="H462">
        <f>_xlfn.XLOOKUP(Table2[[#This Row],[Zone]],Table1[Row],Table1[Max Bay],_xleta.NA,0)</f>
        <v>14</v>
      </c>
      <c r="I462" s="1" t="str">
        <f t="shared" si="35"/>
        <v>11</v>
      </c>
      <c r="J462">
        <f t="shared" si="36"/>
        <v>1</v>
      </c>
      <c r="K462" t="str">
        <f>_xlfn.XLOOKUP(Table2[[#This Row],[Row]],Table1[Row],Table1[StartSide],0)</f>
        <v>L</v>
      </c>
      <c r="L462" t="str">
        <f t="shared" si="37"/>
        <v>L</v>
      </c>
      <c r="M462" t="str">
        <f t="shared" si="38"/>
        <v>PS2_D11_1_L</v>
      </c>
    </row>
    <row r="463" spans="1:13" x14ac:dyDescent="0.25">
      <c r="A463" t="s">
        <v>470</v>
      </c>
      <c r="B463" t="s">
        <v>766</v>
      </c>
      <c r="C463" t="s">
        <v>755</v>
      </c>
      <c r="D463">
        <v>1</v>
      </c>
      <c r="E463" t="s">
        <v>752</v>
      </c>
      <c r="F463" t="s">
        <v>780</v>
      </c>
      <c r="G463" t="str">
        <f t="shared" si="39"/>
        <v>D</v>
      </c>
      <c r="H463">
        <f>_xlfn.XLOOKUP(Table2[[#This Row],[Zone]],Table1[Row],Table1[Max Bay],_xleta.NA,0)</f>
        <v>14</v>
      </c>
      <c r="I463" s="1" t="str">
        <f t="shared" si="35"/>
        <v>11</v>
      </c>
      <c r="J463">
        <f t="shared" si="36"/>
        <v>1</v>
      </c>
      <c r="K463" t="str">
        <f>_xlfn.XLOOKUP(Table2[[#This Row],[Row]],Table1[Row],Table1[StartSide],0)</f>
        <v>L</v>
      </c>
      <c r="L463" t="str">
        <f t="shared" si="37"/>
        <v>R</v>
      </c>
      <c r="M463" t="str">
        <f t="shared" si="38"/>
        <v>PS2_D11_1_R</v>
      </c>
    </row>
    <row r="464" spans="1:13" x14ac:dyDescent="0.25">
      <c r="A464" t="s">
        <v>471</v>
      </c>
      <c r="B464" t="s">
        <v>766</v>
      </c>
      <c r="C464" t="s">
        <v>755</v>
      </c>
      <c r="D464">
        <v>2</v>
      </c>
      <c r="E464" t="s">
        <v>751</v>
      </c>
      <c r="F464" t="s">
        <v>780</v>
      </c>
      <c r="G464" t="str">
        <f t="shared" si="39"/>
        <v>D</v>
      </c>
      <c r="H464">
        <f>_xlfn.XLOOKUP(Table2[[#This Row],[Zone]],Table1[Row],Table1[Max Bay],_xleta.NA,0)</f>
        <v>14</v>
      </c>
      <c r="I464" s="1" t="str">
        <f t="shared" si="35"/>
        <v>11</v>
      </c>
      <c r="J464">
        <f t="shared" si="36"/>
        <v>2</v>
      </c>
      <c r="K464" t="str">
        <f>_xlfn.XLOOKUP(Table2[[#This Row],[Row]],Table1[Row],Table1[StartSide],0)</f>
        <v>L</v>
      </c>
      <c r="L464" t="str">
        <f t="shared" si="37"/>
        <v>L</v>
      </c>
      <c r="M464" t="str">
        <f t="shared" si="38"/>
        <v>PS2_D11_2_L</v>
      </c>
    </row>
    <row r="465" spans="1:13" x14ac:dyDescent="0.25">
      <c r="A465" t="s">
        <v>472</v>
      </c>
      <c r="B465" t="s">
        <v>766</v>
      </c>
      <c r="C465" t="s">
        <v>755</v>
      </c>
      <c r="D465">
        <v>2</v>
      </c>
      <c r="E465" t="s">
        <v>752</v>
      </c>
      <c r="F465" t="s">
        <v>780</v>
      </c>
      <c r="G465" t="str">
        <f t="shared" si="39"/>
        <v>D</v>
      </c>
      <c r="H465">
        <f>_xlfn.XLOOKUP(Table2[[#This Row],[Zone]],Table1[Row],Table1[Max Bay],_xleta.NA,0)</f>
        <v>14</v>
      </c>
      <c r="I465" s="1" t="str">
        <f t="shared" si="35"/>
        <v>11</v>
      </c>
      <c r="J465">
        <f t="shared" si="36"/>
        <v>2</v>
      </c>
      <c r="K465" t="str">
        <f>_xlfn.XLOOKUP(Table2[[#This Row],[Row]],Table1[Row],Table1[StartSide],0)</f>
        <v>L</v>
      </c>
      <c r="L465" t="str">
        <f t="shared" si="37"/>
        <v>R</v>
      </c>
      <c r="M465" t="str">
        <f t="shared" si="38"/>
        <v>PS2_D11_2_R</v>
      </c>
    </row>
    <row r="466" spans="1:13" x14ac:dyDescent="0.25">
      <c r="A466" t="s">
        <v>473</v>
      </c>
      <c r="B466" t="s">
        <v>766</v>
      </c>
      <c r="C466" t="s">
        <v>755</v>
      </c>
      <c r="D466">
        <v>3</v>
      </c>
      <c r="E466" t="s">
        <v>751</v>
      </c>
      <c r="F466" t="s">
        <v>780</v>
      </c>
      <c r="G466" t="str">
        <f t="shared" si="39"/>
        <v>D</v>
      </c>
      <c r="H466">
        <f>_xlfn.XLOOKUP(Table2[[#This Row],[Zone]],Table1[Row],Table1[Max Bay],_xleta.NA,0)</f>
        <v>14</v>
      </c>
      <c r="I466" s="1" t="str">
        <f t="shared" si="35"/>
        <v>11</v>
      </c>
      <c r="J466">
        <f t="shared" si="36"/>
        <v>3</v>
      </c>
      <c r="K466" t="str">
        <f>_xlfn.XLOOKUP(Table2[[#This Row],[Row]],Table1[Row],Table1[StartSide],0)</f>
        <v>L</v>
      </c>
      <c r="L466" t="str">
        <f t="shared" si="37"/>
        <v>L</v>
      </c>
      <c r="M466" t="str">
        <f t="shared" si="38"/>
        <v>PS2_D11_3_L</v>
      </c>
    </row>
    <row r="467" spans="1:13" x14ac:dyDescent="0.25">
      <c r="A467" t="s">
        <v>474</v>
      </c>
      <c r="B467" t="s">
        <v>766</v>
      </c>
      <c r="C467" t="s">
        <v>755</v>
      </c>
      <c r="D467">
        <v>3</v>
      </c>
      <c r="E467" t="s">
        <v>752</v>
      </c>
      <c r="F467" t="s">
        <v>780</v>
      </c>
      <c r="G467" t="str">
        <f t="shared" si="39"/>
        <v>D</v>
      </c>
      <c r="H467">
        <f>_xlfn.XLOOKUP(Table2[[#This Row],[Zone]],Table1[Row],Table1[Max Bay],_xleta.NA,0)</f>
        <v>14</v>
      </c>
      <c r="I467" s="1" t="str">
        <f t="shared" si="35"/>
        <v>11</v>
      </c>
      <c r="J467">
        <f t="shared" si="36"/>
        <v>3</v>
      </c>
      <c r="K467" t="str">
        <f>_xlfn.XLOOKUP(Table2[[#This Row],[Row]],Table1[Row],Table1[StartSide],0)</f>
        <v>L</v>
      </c>
      <c r="L467" t="str">
        <f t="shared" si="37"/>
        <v>R</v>
      </c>
      <c r="M467" t="str">
        <f t="shared" si="38"/>
        <v>PS2_D11_3_R</v>
      </c>
    </row>
    <row r="468" spans="1:13" x14ac:dyDescent="0.25">
      <c r="A468" t="s">
        <v>475</v>
      </c>
      <c r="B468" t="s">
        <v>766</v>
      </c>
      <c r="C468" t="s">
        <v>755</v>
      </c>
      <c r="D468">
        <v>4</v>
      </c>
      <c r="E468" t="s">
        <v>751</v>
      </c>
      <c r="F468" t="s">
        <v>780</v>
      </c>
      <c r="G468" t="str">
        <f t="shared" si="39"/>
        <v>D</v>
      </c>
      <c r="H468">
        <f>_xlfn.XLOOKUP(Table2[[#This Row],[Zone]],Table1[Row],Table1[Max Bay],_xleta.NA,0)</f>
        <v>14</v>
      </c>
      <c r="I468" s="1" t="str">
        <f t="shared" si="35"/>
        <v>11</v>
      </c>
      <c r="J468">
        <f t="shared" si="36"/>
        <v>4</v>
      </c>
      <c r="K468" t="str">
        <f>_xlfn.XLOOKUP(Table2[[#This Row],[Row]],Table1[Row],Table1[StartSide],0)</f>
        <v>L</v>
      </c>
      <c r="L468" t="str">
        <f t="shared" si="37"/>
        <v>L</v>
      </c>
      <c r="M468" t="str">
        <f t="shared" si="38"/>
        <v>PS2_D11_4_L</v>
      </c>
    </row>
    <row r="469" spans="1:13" x14ac:dyDescent="0.25">
      <c r="A469" t="s">
        <v>476</v>
      </c>
      <c r="B469" t="s">
        <v>766</v>
      </c>
      <c r="C469" t="s">
        <v>755</v>
      </c>
      <c r="D469">
        <v>4</v>
      </c>
      <c r="E469" t="s">
        <v>752</v>
      </c>
      <c r="F469" t="s">
        <v>780</v>
      </c>
      <c r="G469" t="str">
        <f t="shared" si="39"/>
        <v>D</v>
      </c>
      <c r="H469">
        <f>_xlfn.XLOOKUP(Table2[[#This Row],[Zone]],Table1[Row],Table1[Max Bay],_xleta.NA,0)</f>
        <v>14</v>
      </c>
      <c r="I469" s="1" t="str">
        <f t="shared" si="35"/>
        <v>11</v>
      </c>
      <c r="J469">
        <f t="shared" si="36"/>
        <v>4</v>
      </c>
      <c r="K469" t="str">
        <f>_xlfn.XLOOKUP(Table2[[#This Row],[Row]],Table1[Row],Table1[StartSide],0)</f>
        <v>L</v>
      </c>
      <c r="L469" t="str">
        <f t="shared" si="37"/>
        <v>R</v>
      </c>
      <c r="M469" t="str">
        <f t="shared" si="38"/>
        <v>PS2_D11_4_R</v>
      </c>
    </row>
    <row r="470" spans="1:13" x14ac:dyDescent="0.25">
      <c r="A470" t="s">
        <v>477</v>
      </c>
      <c r="B470" t="s">
        <v>766</v>
      </c>
      <c r="C470" t="s">
        <v>755</v>
      </c>
      <c r="D470">
        <v>5</v>
      </c>
      <c r="E470" t="s">
        <v>751</v>
      </c>
      <c r="F470" t="s">
        <v>780</v>
      </c>
      <c r="G470" t="str">
        <f t="shared" si="39"/>
        <v>D</v>
      </c>
      <c r="H470">
        <f>_xlfn.XLOOKUP(Table2[[#This Row],[Zone]],Table1[Row],Table1[Max Bay],_xleta.NA,0)</f>
        <v>14</v>
      </c>
      <c r="I470" s="1" t="str">
        <f t="shared" si="35"/>
        <v>11</v>
      </c>
      <c r="J470">
        <f t="shared" si="36"/>
        <v>5</v>
      </c>
      <c r="K470" t="str">
        <f>_xlfn.XLOOKUP(Table2[[#This Row],[Row]],Table1[Row],Table1[StartSide],0)</f>
        <v>L</v>
      </c>
      <c r="L470" t="str">
        <f t="shared" si="37"/>
        <v>L</v>
      </c>
      <c r="M470" t="str">
        <f t="shared" si="38"/>
        <v>PS2_D11_5_L</v>
      </c>
    </row>
    <row r="471" spans="1:13" x14ac:dyDescent="0.25">
      <c r="A471" t="s">
        <v>478</v>
      </c>
      <c r="B471" t="s">
        <v>766</v>
      </c>
      <c r="C471" t="s">
        <v>755</v>
      </c>
      <c r="D471">
        <v>5</v>
      </c>
      <c r="E471" t="s">
        <v>752</v>
      </c>
      <c r="F471" t="s">
        <v>780</v>
      </c>
      <c r="G471" t="str">
        <f t="shared" si="39"/>
        <v>D</v>
      </c>
      <c r="H471">
        <f>_xlfn.XLOOKUP(Table2[[#This Row],[Zone]],Table1[Row],Table1[Max Bay],_xleta.NA,0)</f>
        <v>14</v>
      </c>
      <c r="I471" s="1" t="str">
        <f t="shared" si="35"/>
        <v>11</v>
      </c>
      <c r="J471">
        <f t="shared" si="36"/>
        <v>5</v>
      </c>
      <c r="K471" t="str">
        <f>_xlfn.XLOOKUP(Table2[[#This Row],[Row]],Table1[Row],Table1[StartSide],0)</f>
        <v>L</v>
      </c>
      <c r="L471" t="str">
        <f t="shared" si="37"/>
        <v>R</v>
      </c>
      <c r="M471" t="str">
        <f t="shared" si="38"/>
        <v>PS2_D11_5_R</v>
      </c>
    </row>
    <row r="472" spans="1:13" x14ac:dyDescent="0.25">
      <c r="A472" t="s">
        <v>479</v>
      </c>
      <c r="B472" t="s">
        <v>766</v>
      </c>
      <c r="C472" t="s">
        <v>755</v>
      </c>
      <c r="D472">
        <v>6</v>
      </c>
      <c r="E472" t="s">
        <v>752</v>
      </c>
      <c r="F472" t="s">
        <v>780</v>
      </c>
      <c r="G472" t="str">
        <f t="shared" si="39"/>
        <v>D</v>
      </c>
      <c r="H472">
        <f>_xlfn.XLOOKUP(Table2[[#This Row],[Zone]],Table1[Row],Table1[Max Bay],_xleta.NA,0)</f>
        <v>14</v>
      </c>
      <c r="I472" s="1" t="str">
        <f t="shared" si="35"/>
        <v>11</v>
      </c>
      <c r="J472">
        <f t="shared" si="36"/>
        <v>6</v>
      </c>
      <c r="K472" t="str">
        <f>_xlfn.XLOOKUP(Table2[[#This Row],[Row]],Table1[Row],Table1[StartSide],0)</f>
        <v>L</v>
      </c>
      <c r="L472" t="str">
        <f t="shared" si="37"/>
        <v>R</v>
      </c>
      <c r="M472" t="str">
        <f t="shared" si="38"/>
        <v>PS2_D11_6_R</v>
      </c>
    </row>
    <row r="473" spans="1:13" x14ac:dyDescent="0.25">
      <c r="A473" t="s">
        <v>480</v>
      </c>
      <c r="B473" t="s">
        <v>766</v>
      </c>
      <c r="C473" t="s">
        <v>756</v>
      </c>
      <c r="D473">
        <v>1</v>
      </c>
      <c r="E473" t="s">
        <v>751</v>
      </c>
      <c r="F473" t="s">
        <v>780</v>
      </c>
      <c r="G473" t="str">
        <f t="shared" si="39"/>
        <v>D</v>
      </c>
      <c r="H473">
        <f>_xlfn.XLOOKUP(Table2[[#This Row],[Zone]],Table1[Row],Table1[Max Bay],_xleta.NA,0)</f>
        <v>14</v>
      </c>
      <c r="I473" s="1" t="str">
        <f t="shared" si="35"/>
        <v>10</v>
      </c>
      <c r="J473">
        <f t="shared" si="36"/>
        <v>1</v>
      </c>
      <c r="K473" t="str">
        <f>_xlfn.XLOOKUP(Table2[[#This Row],[Row]],Table1[Row],Table1[StartSide],0)</f>
        <v>L</v>
      </c>
      <c r="L473" t="str">
        <f t="shared" si="37"/>
        <v>L</v>
      </c>
      <c r="M473" t="str">
        <f t="shared" si="38"/>
        <v>PS2_D10_1_L</v>
      </c>
    </row>
    <row r="474" spans="1:13" x14ac:dyDescent="0.25">
      <c r="A474" t="s">
        <v>481</v>
      </c>
      <c r="B474" t="s">
        <v>766</v>
      </c>
      <c r="C474" t="s">
        <v>756</v>
      </c>
      <c r="D474">
        <v>1</v>
      </c>
      <c r="E474" t="s">
        <v>752</v>
      </c>
      <c r="F474" t="s">
        <v>780</v>
      </c>
      <c r="G474" t="str">
        <f t="shared" si="39"/>
        <v>D</v>
      </c>
      <c r="H474">
        <f>_xlfn.XLOOKUP(Table2[[#This Row],[Zone]],Table1[Row],Table1[Max Bay],_xleta.NA,0)</f>
        <v>14</v>
      </c>
      <c r="I474" s="1" t="str">
        <f t="shared" si="35"/>
        <v>10</v>
      </c>
      <c r="J474">
        <f t="shared" si="36"/>
        <v>1</v>
      </c>
      <c r="K474" t="str">
        <f>_xlfn.XLOOKUP(Table2[[#This Row],[Row]],Table1[Row],Table1[StartSide],0)</f>
        <v>L</v>
      </c>
      <c r="L474" t="str">
        <f t="shared" si="37"/>
        <v>R</v>
      </c>
      <c r="M474" t="str">
        <f t="shared" si="38"/>
        <v>PS2_D10_1_R</v>
      </c>
    </row>
    <row r="475" spans="1:13" x14ac:dyDescent="0.25">
      <c r="A475" t="s">
        <v>482</v>
      </c>
      <c r="B475" t="s">
        <v>766</v>
      </c>
      <c r="C475" t="s">
        <v>756</v>
      </c>
      <c r="D475">
        <v>2</v>
      </c>
      <c r="E475" t="s">
        <v>751</v>
      </c>
      <c r="F475" t="s">
        <v>780</v>
      </c>
      <c r="G475" t="str">
        <f t="shared" si="39"/>
        <v>D</v>
      </c>
      <c r="H475">
        <f>_xlfn.XLOOKUP(Table2[[#This Row],[Zone]],Table1[Row],Table1[Max Bay],_xleta.NA,0)</f>
        <v>14</v>
      </c>
      <c r="I475" s="1" t="str">
        <f t="shared" si="35"/>
        <v>10</v>
      </c>
      <c r="J475">
        <f t="shared" si="36"/>
        <v>2</v>
      </c>
      <c r="K475" t="str">
        <f>_xlfn.XLOOKUP(Table2[[#This Row],[Row]],Table1[Row],Table1[StartSide],0)</f>
        <v>L</v>
      </c>
      <c r="L475" t="str">
        <f t="shared" si="37"/>
        <v>L</v>
      </c>
      <c r="M475" t="str">
        <f t="shared" si="38"/>
        <v>PS2_D10_2_L</v>
      </c>
    </row>
    <row r="476" spans="1:13" x14ac:dyDescent="0.25">
      <c r="A476" t="s">
        <v>483</v>
      </c>
      <c r="B476" t="s">
        <v>766</v>
      </c>
      <c r="C476" t="s">
        <v>756</v>
      </c>
      <c r="D476">
        <v>2</v>
      </c>
      <c r="E476" t="s">
        <v>752</v>
      </c>
      <c r="F476" t="s">
        <v>780</v>
      </c>
      <c r="G476" t="str">
        <f t="shared" si="39"/>
        <v>D</v>
      </c>
      <c r="H476">
        <f>_xlfn.XLOOKUP(Table2[[#This Row],[Zone]],Table1[Row],Table1[Max Bay],_xleta.NA,0)</f>
        <v>14</v>
      </c>
      <c r="I476" s="1" t="str">
        <f t="shared" si="35"/>
        <v>10</v>
      </c>
      <c r="J476">
        <f t="shared" si="36"/>
        <v>2</v>
      </c>
      <c r="K476" t="str">
        <f>_xlfn.XLOOKUP(Table2[[#This Row],[Row]],Table1[Row],Table1[StartSide],0)</f>
        <v>L</v>
      </c>
      <c r="L476" t="str">
        <f t="shared" si="37"/>
        <v>R</v>
      </c>
      <c r="M476" t="str">
        <f t="shared" si="38"/>
        <v>PS2_D10_2_R</v>
      </c>
    </row>
    <row r="477" spans="1:13" x14ac:dyDescent="0.25">
      <c r="A477" t="s">
        <v>484</v>
      </c>
      <c r="B477" t="s">
        <v>766</v>
      </c>
      <c r="C477" t="s">
        <v>756</v>
      </c>
      <c r="D477">
        <v>3</v>
      </c>
      <c r="E477" t="s">
        <v>751</v>
      </c>
      <c r="F477" t="s">
        <v>780</v>
      </c>
      <c r="G477" t="str">
        <f t="shared" si="39"/>
        <v>D</v>
      </c>
      <c r="H477">
        <f>_xlfn.XLOOKUP(Table2[[#This Row],[Zone]],Table1[Row],Table1[Max Bay],_xleta.NA,0)</f>
        <v>14</v>
      </c>
      <c r="I477" s="1" t="str">
        <f t="shared" si="35"/>
        <v>10</v>
      </c>
      <c r="J477">
        <f t="shared" si="36"/>
        <v>3</v>
      </c>
      <c r="K477" t="str">
        <f>_xlfn.XLOOKUP(Table2[[#This Row],[Row]],Table1[Row],Table1[StartSide],0)</f>
        <v>L</v>
      </c>
      <c r="L477" t="str">
        <f t="shared" si="37"/>
        <v>L</v>
      </c>
      <c r="M477" t="str">
        <f t="shared" si="38"/>
        <v>PS2_D10_3_L</v>
      </c>
    </row>
    <row r="478" spans="1:13" x14ac:dyDescent="0.25">
      <c r="A478" t="s">
        <v>485</v>
      </c>
      <c r="B478" t="s">
        <v>766</v>
      </c>
      <c r="C478" t="s">
        <v>756</v>
      </c>
      <c r="D478">
        <v>3</v>
      </c>
      <c r="E478" t="s">
        <v>752</v>
      </c>
      <c r="F478" t="s">
        <v>780</v>
      </c>
      <c r="G478" t="str">
        <f t="shared" si="39"/>
        <v>D</v>
      </c>
      <c r="H478">
        <f>_xlfn.XLOOKUP(Table2[[#This Row],[Zone]],Table1[Row],Table1[Max Bay],_xleta.NA,0)</f>
        <v>14</v>
      </c>
      <c r="I478" s="1" t="str">
        <f t="shared" si="35"/>
        <v>10</v>
      </c>
      <c r="J478">
        <f t="shared" si="36"/>
        <v>3</v>
      </c>
      <c r="K478" t="str">
        <f>_xlfn.XLOOKUP(Table2[[#This Row],[Row]],Table1[Row],Table1[StartSide],0)</f>
        <v>L</v>
      </c>
      <c r="L478" t="str">
        <f t="shared" si="37"/>
        <v>R</v>
      </c>
      <c r="M478" t="str">
        <f t="shared" si="38"/>
        <v>PS2_D10_3_R</v>
      </c>
    </row>
    <row r="479" spans="1:13" x14ac:dyDescent="0.25">
      <c r="A479" t="s">
        <v>486</v>
      </c>
      <c r="B479" t="s">
        <v>766</v>
      </c>
      <c r="C479" t="s">
        <v>756</v>
      </c>
      <c r="D479">
        <v>4</v>
      </c>
      <c r="E479" t="s">
        <v>751</v>
      </c>
      <c r="F479" t="s">
        <v>780</v>
      </c>
      <c r="G479" t="str">
        <f t="shared" si="39"/>
        <v>D</v>
      </c>
      <c r="H479">
        <f>_xlfn.XLOOKUP(Table2[[#This Row],[Zone]],Table1[Row],Table1[Max Bay],_xleta.NA,0)</f>
        <v>14</v>
      </c>
      <c r="I479" s="1" t="str">
        <f t="shared" si="35"/>
        <v>10</v>
      </c>
      <c r="J479">
        <f t="shared" si="36"/>
        <v>4</v>
      </c>
      <c r="K479" t="str">
        <f>_xlfn.XLOOKUP(Table2[[#This Row],[Row]],Table1[Row],Table1[StartSide],0)</f>
        <v>L</v>
      </c>
      <c r="L479" t="str">
        <f t="shared" si="37"/>
        <v>L</v>
      </c>
      <c r="M479" t="str">
        <f t="shared" si="38"/>
        <v>PS2_D10_4_L</v>
      </c>
    </row>
    <row r="480" spans="1:13" x14ac:dyDescent="0.25">
      <c r="A480" t="s">
        <v>487</v>
      </c>
      <c r="B480" t="s">
        <v>766</v>
      </c>
      <c r="C480" t="s">
        <v>756</v>
      </c>
      <c r="D480">
        <v>4</v>
      </c>
      <c r="E480" t="s">
        <v>752</v>
      </c>
      <c r="F480" t="s">
        <v>780</v>
      </c>
      <c r="G480" t="str">
        <f t="shared" si="39"/>
        <v>D</v>
      </c>
      <c r="H480">
        <f>_xlfn.XLOOKUP(Table2[[#This Row],[Zone]],Table1[Row],Table1[Max Bay],_xleta.NA,0)</f>
        <v>14</v>
      </c>
      <c r="I480" s="1" t="str">
        <f t="shared" si="35"/>
        <v>10</v>
      </c>
      <c r="J480">
        <f t="shared" si="36"/>
        <v>4</v>
      </c>
      <c r="K480" t="str">
        <f>_xlfn.XLOOKUP(Table2[[#This Row],[Row]],Table1[Row],Table1[StartSide],0)</f>
        <v>L</v>
      </c>
      <c r="L480" t="str">
        <f t="shared" si="37"/>
        <v>R</v>
      </c>
      <c r="M480" t="str">
        <f t="shared" si="38"/>
        <v>PS2_D10_4_R</v>
      </c>
    </row>
    <row r="481" spans="1:13" x14ac:dyDescent="0.25">
      <c r="A481" t="s">
        <v>488</v>
      </c>
      <c r="B481" t="s">
        <v>766</v>
      </c>
      <c r="C481" t="s">
        <v>756</v>
      </c>
      <c r="D481">
        <v>5</v>
      </c>
      <c r="E481" t="s">
        <v>751</v>
      </c>
      <c r="F481" t="s">
        <v>780</v>
      </c>
      <c r="G481" t="str">
        <f t="shared" si="39"/>
        <v>D</v>
      </c>
      <c r="H481">
        <f>_xlfn.XLOOKUP(Table2[[#This Row],[Zone]],Table1[Row],Table1[Max Bay],_xleta.NA,0)</f>
        <v>14</v>
      </c>
      <c r="I481" s="1" t="str">
        <f t="shared" si="35"/>
        <v>10</v>
      </c>
      <c r="J481">
        <f t="shared" si="36"/>
        <v>5</v>
      </c>
      <c r="K481" t="str">
        <f>_xlfn.XLOOKUP(Table2[[#This Row],[Row]],Table1[Row],Table1[StartSide],0)</f>
        <v>L</v>
      </c>
      <c r="L481" t="str">
        <f t="shared" si="37"/>
        <v>L</v>
      </c>
      <c r="M481" t="str">
        <f t="shared" si="38"/>
        <v>PS2_D10_5_L</v>
      </c>
    </row>
    <row r="482" spans="1:13" x14ac:dyDescent="0.25">
      <c r="A482" t="s">
        <v>489</v>
      </c>
      <c r="B482" t="s">
        <v>766</v>
      </c>
      <c r="C482" t="s">
        <v>756</v>
      </c>
      <c r="D482">
        <v>5</v>
      </c>
      <c r="E482" t="s">
        <v>752</v>
      </c>
      <c r="F482" t="s">
        <v>780</v>
      </c>
      <c r="G482" t="str">
        <f t="shared" si="39"/>
        <v>D</v>
      </c>
      <c r="H482">
        <f>_xlfn.XLOOKUP(Table2[[#This Row],[Zone]],Table1[Row],Table1[Max Bay],_xleta.NA,0)</f>
        <v>14</v>
      </c>
      <c r="I482" s="1" t="str">
        <f t="shared" si="35"/>
        <v>10</v>
      </c>
      <c r="J482">
        <f t="shared" si="36"/>
        <v>5</v>
      </c>
      <c r="K482" t="str">
        <f>_xlfn.XLOOKUP(Table2[[#This Row],[Row]],Table1[Row],Table1[StartSide],0)</f>
        <v>L</v>
      </c>
      <c r="L482" t="str">
        <f t="shared" si="37"/>
        <v>R</v>
      </c>
      <c r="M482" t="str">
        <f t="shared" si="38"/>
        <v>PS2_D10_5_R</v>
      </c>
    </row>
    <row r="483" spans="1:13" x14ac:dyDescent="0.25">
      <c r="A483" t="s">
        <v>490</v>
      </c>
      <c r="B483" t="s">
        <v>766</v>
      </c>
      <c r="C483" t="s">
        <v>756</v>
      </c>
      <c r="D483">
        <v>6</v>
      </c>
      <c r="E483" t="s">
        <v>751</v>
      </c>
      <c r="F483" t="s">
        <v>780</v>
      </c>
      <c r="G483" t="str">
        <f t="shared" si="39"/>
        <v>D</v>
      </c>
      <c r="H483">
        <f>_xlfn.XLOOKUP(Table2[[#This Row],[Zone]],Table1[Row],Table1[Max Bay],_xleta.NA,0)</f>
        <v>14</v>
      </c>
      <c r="I483" s="1" t="str">
        <f t="shared" si="35"/>
        <v>10</v>
      </c>
      <c r="J483">
        <f t="shared" si="36"/>
        <v>6</v>
      </c>
      <c r="K483" t="str">
        <f>_xlfn.XLOOKUP(Table2[[#This Row],[Row]],Table1[Row],Table1[StartSide],0)</f>
        <v>L</v>
      </c>
      <c r="L483" t="str">
        <f t="shared" si="37"/>
        <v>L</v>
      </c>
      <c r="M483" t="str">
        <f t="shared" si="38"/>
        <v>PS2_D10_6_L</v>
      </c>
    </row>
    <row r="484" spans="1:13" x14ac:dyDescent="0.25">
      <c r="A484" t="s">
        <v>491</v>
      </c>
      <c r="B484" t="s">
        <v>766</v>
      </c>
      <c r="C484" t="s">
        <v>756</v>
      </c>
      <c r="D484">
        <v>6</v>
      </c>
      <c r="E484" t="s">
        <v>752</v>
      </c>
      <c r="F484" t="s">
        <v>780</v>
      </c>
      <c r="G484" t="str">
        <f t="shared" si="39"/>
        <v>D</v>
      </c>
      <c r="H484">
        <f>_xlfn.XLOOKUP(Table2[[#This Row],[Zone]],Table1[Row],Table1[Max Bay],_xleta.NA,0)</f>
        <v>14</v>
      </c>
      <c r="I484" s="1" t="str">
        <f t="shared" si="35"/>
        <v>10</v>
      </c>
      <c r="J484">
        <f t="shared" si="36"/>
        <v>6</v>
      </c>
      <c r="K484" t="str">
        <f>_xlfn.XLOOKUP(Table2[[#This Row],[Row]],Table1[Row],Table1[StartSide],0)</f>
        <v>L</v>
      </c>
      <c r="L484" t="str">
        <f t="shared" si="37"/>
        <v>R</v>
      </c>
      <c r="M484" t="str">
        <f t="shared" si="38"/>
        <v>PS2_D10_6_R</v>
      </c>
    </row>
    <row r="485" spans="1:13" x14ac:dyDescent="0.25">
      <c r="A485" t="s">
        <v>492</v>
      </c>
      <c r="B485" t="s">
        <v>766</v>
      </c>
      <c r="C485" t="s">
        <v>757</v>
      </c>
      <c r="D485">
        <v>1</v>
      </c>
      <c r="E485" t="s">
        <v>751</v>
      </c>
      <c r="F485" t="s">
        <v>780</v>
      </c>
      <c r="G485" t="str">
        <f t="shared" si="39"/>
        <v>D</v>
      </c>
      <c r="H485">
        <f>_xlfn.XLOOKUP(Table2[[#This Row],[Zone]],Table1[Row],Table1[Max Bay],_xleta.NA,0)</f>
        <v>14</v>
      </c>
      <c r="I485" s="1" t="str">
        <f t="shared" si="35"/>
        <v>09</v>
      </c>
      <c r="J485">
        <f t="shared" si="36"/>
        <v>1</v>
      </c>
      <c r="K485" t="str">
        <f>_xlfn.XLOOKUP(Table2[[#This Row],[Row]],Table1[Row],Table1[StartSide],0)</f>
        <v>L</v>
      </c>
      <c r="L485" t="str">
        <f t="shared" si="37"/>
        <v>L</v>
      </c>
      <c r="M485" t="str">
        <f t="shared" si="38"/>
        <v>PS2_D09_1_L</v>
      </c>
    </row>
    <row r="486" spans="1:13" x14ac:dyDescent="0.25">
      <c r="A486" t="s">
        <v>493</v>
      </c>
      <c r="B486" t="s">
        <v>766</v>
      </c>
      <c r="C486" t="s">
        <v>757</v>
      </c>
      <c r="D486">
        <v>1</v>
      </c>
      <c r="E486" t="s">
        <v>752</v>
      </c>
      <c r="F486" t="s">
        <v>780</v>
      </c>
      <c r="G486" t="str">
        <f t="shared" si="39"/>
        <v>D</v>
      </c>
      <c r="H486">
        <f>_xlfn.XLOOKUP(Table2[[#This Row],[Zone]],Table1[Row],Table1[Max Bay],_xleta.NA,0)</f>
        <v>14</v>
      </c>
      <c r="I486" s="1" t="str">
        <f t="shared" si="35"/>
        <v>09</v>
      </c>
      <c r="J486">
        <f t="shared" si="36"/>
        <v>1</v>
      </c>
      <c r="K486" t="str">
        <f>_xlfn.XLOOKUP(Table2[[#This Row],[Row]],Table1[Row],Table1[StartSide],0)</f>
        <v>L</v>
      </c>
      <c r="L486" t="str">
        <f t="shared" si="37"/>
        <v>R</v>
      </c>
      <c r="M486" t="str">
        <f t="shared" si="38"/>
        <v>PS2_D09_1_R</v>
      </c>
    </row>
    <row r="487" spans="1:13" x14ac:dyDescent="0.25">
      <c r="A487" t="s">
        <v>494</v>
      </c>
      <c r="B487" t="s">
        <v>766</v>
      </c>
      <c r="C487" t="s">
        <v>757</v>
      </c>
      <c r="D487">
        <v>2</v>
      </c>
      <c r="E487" t="s">
        <v>751</v>
      </c>
      <c r="F487" t="s">
        <v>780</v>
      </c>
      <c r="G487" t="str">
        <f t="shared" si="39"/>
        <v>D</v>
      </c>
      <c r="H487">
        <f>_xlfn.XLOOKUP(Table2[[#This Row],[Zone]],Table1[Row],Table1[Max Bay],_xleta.NA,0)</f>
        <v>14</v>
      </c>
      <c r="I487" s="1" t="str">
        <f t="shared" si="35"/>
        <v>09</v>
      </c>
      <c r="J487">
        <f t="shared" si="36"/>
        <v>2</v>
      </c>
      <c r="K487" t="str">
        <f>_xlfn.XLOOKUP(Table2[[#This Row],[Row]],Table1[Row],Table1[StartSide],0)</f>
        <v>L</v>
      </c>
      <c r="L487" t="str">
        <f t="shared" si="37"/>
        <v>L</v>
      </c>
      <c r="M487" t="str">
        <f t="shared" si="38"/>
        <v>PS2_D09_2_L</v>
      </c>
    </row>
    <row r="488" spans="1:13" x14ac:dyDescent="0.25">
      <c r="A488" t="s">
        <v>495</v>
      </c>
      <c r="B488" t="s">
        <v>766</v>
      </c>
      <c r="C488" t="s">
        <v>757</v>
      </c>
      <c r="D488">
        <v>2</v>
      </c>
      <c r="E488" t="s">
        <v>752</v>
      </c>
      <c r="F488" t="s">
        <v>780</v>
      </c>
      <c r="G488" t="str">
        <f t="shared" si="39"/>
        <v>D</v>
      </c>
      <c r="H488">
        <f>_xlfn.XLOOKUP(Table2[[#This Row],[Zone]],Table1[Row],Table1[Max Bay],_xleta.NA,0)</f>
        <v>14</v>
      </c>
      <c r="I488" s="1" t="str">
        <f t="shared" si="35"/>
        <v>09</v>
      </c>
      <c r="J488">
        <f t="shared" si="36"/>
        <v>2</v>
      </c>
      <c r="K488" t="str">
        <f>_xlfn.XLOOKUP(Table2[[#This Row],[Row]],Table1[Row],Table1[StartSide],0)</f>
        <v>L</v>
      </c>
      <c r="L488" t="str">
        <f t="shared" si="37"/>
        <v>R</v>
      </c>
      <c r="M488" t="str">
        <f t="shared" si="38"/>
        <v>PS2_D09_2_R</v>
      </c>
    </row>
    <row r="489" spans="1:13" x14ac:dyDescent="0.25">
      <c r="A489" t="s">
        <v>496</v>
      </c>
      <c r="B489" t="s">
        <v>766</v>
      </c>
      <c r="C489" t="s">
        <v>757</v>
      </c>
      <c r="D489">
        <v>3</v>
      </c>
      <c r="E489" t="s">
        <v>751</v>
      </c>
      <c r="F489" t="s">
        <v>780</v>
      </c>
      <c r="G489" t="str">
        <f t="shared" si="39"/>
        <v>D</v>
      </c>
      <c r="H489">
        <f>_xlfn.XLOOKUP(Table2[[#This Row],[Zone]],Table1[Row],Table1[Max Bay],_xleta.NA,0)</f>
        <v>14</v>
      </c>
      <c r="I489" s="1" t="str">
        <f t="shared" si="35"/>
        <v>09</v>
      </c>
      <c r="J489">
        <f t="shared" si="36"/>
        <v>3</v>
      </c>
      <c r="K489" t="str">
        <f>_xlfn.XLOOKUP(Table2[[#This Row],[Row]],Table1[Row],Table1[StartSide],0)</f>
        <v>L</v>
      </c>
      <c r="L489" t="str">
        <f t="shared" si="37"/>
        <v>L</v>
      </c>
      <c r="M489" t="str">
        <f t="shared" si="38"/>
        <v>PS2_D09_3_L</v>
      </c>
    </row>
    <row r="490" spans="1:13" x14ac:dyDescent="0.25">
      <c r="A490" t="s">
        <v>497</v>
      </c>
      <c r="B490" t="s">
        <v>766</v>
      </c>
      <c r="C490" t="s">
        <v>757</v>
      </c>
      <c r="D490">
        <v>3</v>
      </c>
      <c r="E490" t="s">
        <v>752</v>
      </c>
      <c r="F490" t="s">
        <v>780</v>
      </c>
      <c r="G490" t="str">
        <f t="shared" si="39"/>
        <v>D</v>
      </c>
      <c r="H490">
        <f>_xlfn.XLOOKUP(Table2[[#This Row],[Zone]],Table1[Row],Table1[Max Bay],_xleta.NA,0)</f>
        <v>14</v>
      </c>
      <c r="I490" s="1" t="str">
        <f t="shared" si="35"/>
        <v>09</v>
      </c>
      <c r="J490">
        <f t="shared" si="36"/>
        <v>3</v>
      </c>
      <c r="K490" t="str">
        <f>_xlfn.XLOOKUP(Table2[[#This Row],[Row]],Table1[Row],Table1[StartSide],0)</f>
        <v>L</v>
      </c>
      <c r="L490" t="str">
        <f t="shared" si="37"/>
        <v>R</v>
      </c>
      <c r="M490" t="str">
        <f t="shared" si="38"/>
        <v>PS2_D09_3_R</v>
      </c>
    </row>
    <row r="491" spans="1:13" x14ac:dyDescent="0.25">
      <c r="A491" t="s">
        <v>498</v>
      </c>
      <c r="B491" t="s">
        <v>766</v>
      </c>
      <c r="C491" t="s">
        <v>757</v>
      </c>
      <c r="D491">
        <v>4</v>
      </c>
      <c r="E491" t="s">
        <v>751</v>
      </c>
      <c r="F491" t="s">
        <v>780</v>
      </c>
      <c r="G491" t="str">
        <f t="shared" si="39"/>
        <v>D</v>
      </c>
      <c r="H491">
        <f>_xlfn.XLOOKUP(Table2[[#This Row],[Zone]],Table1[Row],Table1[Max Bay],_xleta.NA,0)</f>
        <v>14</v>
      </c>
      <c r="I491" s="1" t="str">
        <f t="shared" si="35"/>
        <v>09</v>
      </c>
      <c r="J491">
        <f t="shared" si="36"/>
        <v>4</v>
      </c>
      <c r="K491" t="str">
        <f>_xlfn.XLOOKUP(Table2[[#This Row],[Row]],Table1[Row],Table1[StartSide],0)</f>
        <v>L</v>
      </c>
      <c r="L491" t="str">
        <f t="shared" si="37"/>
        <v>L</v>
      </c>
      <c r="M491" t="str">
        <f t="shared" si="38"/>
        <v>PS2_D09_4_L</v>
      </c>
    </row>
    <row r="492" spans="1:13" x14ac:dyDescent="0.25">
      <c r="A492" t="s">
        <v>499</v>
      </c>
      <c r="B492" t="s">
        <v>766</v>
      </c>
      <c r="C492" t="s">
        <v>757</v>
      </c>
      <c r="D492">
        <v>4</v>
      </c>
      <c r="E492" t="s">
        <v>752</v>
      </c>
      <c r="F492" t="s">
        <v>780</v>
      </c>
      <c r="G492" t="str">
        <f t="shared" si="39"/>
        <v>D</v>
      </c>
      <c r="H492">
        <f>_xlfn.XLOOKUP(Table2[[#This Row],[Zone]],Table1[Row],Table1[Max Bay],_xleta.NA,0)</f>
        <v>14</v>
      </c>
      <c r="I492" s="1" t="str">
        <f t="shared" si="35"/>
        <v>09</v>
      </c>
      <c r="J492">
        <f t="shared" si="36"/>
        <v>4</v>
      </c>
      <c r="K492" t="str">
        <f>_xlfn.XLOOKUP(Table2[[#This Row],[Row]],Table1[Row],Table1[StartSide],0)</f>
        <v>L</v>
      </c>
      <c r="L492" t="str">
        <f t="shared" si="37"/>
        <v>R</v>
      </c>
      <c r="M492" t="str">
        <f t="shared" si="38"/>
        <v>PS2_D09_4_R</v>
      </c>
    </row>
    <row r="493" spans="1:13" x14ac:dyDescent="0.25">
      <c r="A493" t="s">
        <v>500</v>
      </c>
      <c r="B493" t="s">
        <v>766</v>
      </c>
      <c r="C493" t="s">
        <v>757</v>
      </c>
      <c r="D493">
        <v>5</v>
      </c>
      <c r="E493" t="s">
        <v>751</v>
      </c>
      <c r="F493" t="s">
        <v>780</v>
      </c>
      <c r="G493" t="str">
        <f t="shared" si="39"/>
        <v>D</v>
      </c>
      <c r="H493">
        <f>_xlfn.XLOOKUP(Table2[[#This Row],[Zone]],Table1[Row],Table1[Max Bay],_xleta.NA,0)</f>
        <v>14</v>
      </c>
      <c r="I493" s="1" t="str">
        <f t="shared" si="35"/>
        <v>09</v>
      </c>
      <c r="J493">
        <f t="shared" si="36"/>
        <v>5</v>
      </c>
      <c r="K493" t="str">
        <f>_xlfn.XLOOKUP(Table2[[#This Row],[Row]],Table1[Row],Table1[StartSide],0)</f>
        <v>L</v>
      </c>
      <c r="L493" t="str">
        <f t="shared" si="37"/>
        <v>L</v>
      </c>
      <c r="M493" t="str">
        <f t="shared" si="38"/>
        <v>PS2_D09_5_L</v>
      </c>
    </row>
    <row r="494" spans="1:13" x14ac:dyDescent="0.25">
      <c r="A494" t="s">
        <v>501</v>
      </c>
      <c r="B494" t="s">
        <v>766</v>
      </c>
      <c r="C494" t="s">
        <v>757</v>
      </c>
      <c r="D494">
        <v>5</v>
      </c>
      <c r="E494" t="s">
        <v>752</v>
      </c>
      <c r="F494" t="s">
        <v>780</v>
      </c>
      <c r="G494" t="str">
        <f t="shared" si="39"/>
        <v>D</v>
      </c>
      <c r="H494">
        <f>_xlfn.XLOOKUP(Table2[[#This Row],[Zone]],Table1[Row],Table1[Max Bay],_xleta.NA,0)</f>
        <v>14</v>
      </c>
      <c r="I494" s="1" t="str">
        <f t="shared" si="35"/>
        <v>09</v>
      </c>
      <c r="J494">
        <f t="shared" si="36"/>
        <v>5</v>
      </c>
      <c r="K494" t="str">
        <f>_xlfn.XLOOKUP(Table2[[#This Row],[Row]],Table1[Row],Table1[StartSide],0)</f>
        <v>L</v>
      </c>
      <c r="L494" t="str">
        <f t="shared" si="37"/>
        <v>R</v>
      </c>
      <c r="M494" t="str">
        <f t="shared" si="38"/>
        <v>PS2_D09_5_R</v>
      </c>
    </row>
    <row r="495" spans="1:13" x14ac:dyDescent="0.25">
      <c r="A495" t="s">
        <v>502</v>
      </c>
      <c r="B495" t="s">
        <v>766</v>
      </c>
      <c r="C495" t="s">
        <v>757</v>
      </c>
      <c r="D495">
        <v>6</v>
      </c>
      <c r="E495" t="s">
        <v>751</v>
      </c>
      <c r="F495" t="s">
        <v>780</v>
      </c>
      <c r="G495" t="str">
        <f t="shared" si="39"/>
        <v>D</v>
      </c>
      <c r="H495">
        <f>_xlfn.XLOOKUP(Table2[[#This Row],[Zone]],Table1[Row],Table1[Max Bay],_xleta.NA,0)</f>
        <v>14</v>
      </c>
      <c r="I495" s="1" t="str">
        <f t="shared" si="35"/>
        <v>09</v>
      </c>
      <c r="J495">
        <f t="shared" si="36"/>
        <v>6</v>
      </c>
      <c r="K495" t="str">
        <f>_xlfn.XLOOKUP(Table2[[#This Row],[Row]],Table1[Row],Table1[StartSide],0)</f>
        <v>L</v>
      </c>
      <c r="L495" t="str">
        <f t="shared" si="37"/>
        <v>L</v>
      </c>
      <c r="M495" t="str">
        <f t="shared" si="38"/>
        <v>PS2_D09_6_L</v>
      </c>
    </row>
    <row r="496" spans="1:13" x14ac:dyDescent="0.25">
      <c r="A496" t="s">
        <v>503</v>
      </c>
      <c r="B496" t="s">
        <v>766</v>
      </c>
      <c r="C496" t="s">
        <v>757</v>
      </c>
      <c r="D496">
        <v>6</v>
      </c>
      <c r="E496" t="s">
        <v>752</v>
      </c>
      <c r="F496" t="s">
        <v>780</v>
      </c>
      <c r="G496" t="str">
        <f t="shared" si="39"/>
        <v>D</v>
      </c>
      <c r="H496">
        <f>_xlfn.XLOOKUP(Table2[[#This Row],[Zone]],Table1[Row],Table1[Max Bay],_xleta.NA,0)</f>
        <v>14</v>
      </c>
      <c r="I496" s="1" t="str">
        <f t="shared" si="35"/>
        <v>09</v>
      </c>
      <c r="J496">
        <f t="shared" si="36"/>
        <v>6</v>
      </c>
      <c r="K496" t="str">
        <f>_xlfn.XLOOKUP(Table2[[#This Row],[Row]],Table1[Row],Table1[StartSide],0)</f>
        <v>L</v>
      </c>
      <c r="L496" t="str">
        <f t="shared" si="37"/>
        <v>R</v>
      </c>
      <c r="M496" t="str">
        <f t="shared" si="38"/>
        <v>PS2_D09_6_R</v>
      </c>
    </row>
    <row r="497" spans="1:13" x14ac:dyDescent="0.25">
      <c r="A497" t="s">
        <v>504</v>
      </c>
      <c r="B497" t="s">
        <v>766</v>
      </c>
      <c r="C497" t="s">
        <v>758</v>
      </c>
      <c r="D497">
        <v>1</v>
      </c>
      <c r="E497" t="s">
        <v>751</v>
      </c>
      <c r="F497" t="s">
        <v>780</v>
      </c>
      <c r="G497" t="str">
        <f t="shared" si="39"/>
        <v>D</v>
      </c>
      <c r="H497">
        <f>_xlfn.XLOOKUP(Table2[[#This Row],[Zone]],Table1[Row],Table1[Max Bay],_xleta.NA,0)</f>
        <v>14</v>
      </c>
      <c r="I497" s="1" t="str">
        <f t="shared" si="35"/>
        <v>08</v>
      </c>
      <c r="J497">
        <f t="shared" si="36"/>
        <v>1</v>
      </c>
      <c r="K497" t="str">
        <f>_xlfn.XLOOKUP(Table2[[#This Row],[Row]],Table1[Row],Table1[StartSide],0)</f>
        <v>L</v>
      </c>
      <c r="L497" t="str">
        <f t="shared" si="37"/>
        <v>L</v>
      </c>
      <c r="M497" t="str">
        <f t="shared" si="38"/>
        <v>PS2_D08_1_L</v>
      </c>
    </row>
    <row r="498" spans="1:13" x14ac:dyDescent="0.25">
      <c r="A498" t="s">
        <v>505</v>
      </c>
      <c r="B498" t="s">
        <v>766</v>
      </c>
      <c r="C498" t="s">
        <v>758</v>
      </c>
      <c r="D498">
        <v>1</v>
      </c>
      <c r="E498" t="s">
        <v>752</v>
      </c>
      <c r="F498" t="s">
        <v>780</v>
      </c>
      <c r="G498" t="str">
        <f t="shared" si="39"/>
        <v>D</v>
      </c>
      <c r="H498">
        <f>_xlfn.XLOOKUP(Table2[[#This Row],[Zone]],Table1[Row],Table1[Max Bay],_xleta.NA,0)</f>
        <v>14</v>
      </c>
      <c r="I498" s="1" t="str">
        <f t="shared" si="35"/>
        <v>08</v>
      </c>
      <c r="J498">
        <f t="shared" si="36"/>
        <v>1</v>
      </c>
      <c r="K498" t="str">
        <f>_xlfn.XLOOKUP(Table2[[#This Row],[Row]],Table1[Row],Table1[StartSide],0)</f>
        <v>L</v>
      </c>
      <c r="L498" t="str">
        <f t="shared" si="37"/>
        <v>R</v>
      </c>
      <c r="M498" t="str">
        <f t="shared" si="38"/>
        <v>PS2_D08_1_R</v>
      </c>
    </row>
    <row r="499" spans="1:13" x14ac:dyDescent="0.25">
      <c r="A499" t="s">
        <v>506</v>
      </c>
      <c r="B499" t="s">
        <v>766</v>
      </c>
      <c r="C499" t="s">
        <v>758</v>
      </c>
      <c r="D499">
        <v>2</v>
      </c>
      <c r="E499" t="s">
        <v>751</v>
      </c>
      <c r="F499" t="s">
        <v>780</v>
      </c>
      <c r="G499" t="str">
        <f t="shared" si="39"/>
        <v>D</v>
      </c>
      <c r="H499">
        <f>_xlfn.XLOOKUP(Table2[[#This Row],[Zone]],Table1[Row],Table1[Max Bay],_xleta.NA,0)</f>
        <v>14</v>
      </c>
      <c r="I499" s="1" t="str">
        <f t="shared" si="35"/>
        <v>08</v>
      </c>
      <c r="J499">
        <f t="shared" si="36"/>
        <v>2</v>
      </c>
      <c r="K499" t="str">
        <f>_xlfn.XLOOKUP(Table2[[#This Row],[Row]],Table1[Row],Table1[StartSide],0)</f>
        <v>L</v>
      </c>
      <c r="L499" t="str">
        <f t="shared" si="37"/>
        <v>L</v>
      </c>
      <c r="M499" t="str">
        <f t="shared" si="38"/>
        <v>PS2_D08_2_L</v>
      </c>
    </row>
    <row r="500" spans="1:13" x14ac:dyDescent="0.25">
      <c r="A500" t="s">
        <v>507</v>
      </c>
      <c r="B500" t="s">
        <v>766</v>
      </c>
      <c r="C500" t="s">
        <v>758</v>
      </c>
      <c r="D500">
        <v>2</v>
      </c>
      <c r="E500" t="s">
        <v>752</v>
      </c>
      <c r="F500" t="s">
        <v>780</v>
      </c>
      <c r="G500" t="str">
        <f t="shared" si="39"/>
        <v>D</v>
      </c>
      <c r="H500">
        <f>_xlfn.XLOOKUP(Table2[[#This Row],[Zone]],Table1[Row],Table1[Max Bay],_xleta.NA,0)</f>
        <v>14</v>
      </c>
      <c r="I500" s="1" t="str">
        <f t="shared" si="35"/>
        <v>08</v>
      </c>
      <c r="J500">
        <f t="shared" si="36"/>
        <v>2</v>
      </c>
      <c r="K500" t="str">
        <f>_xlfn.XLOOKUP(Table2[[#This Row],[Row]],Table1[Row],Table1[StartSide],0)</f>
        <v>L</v>
      </c>
      <c r="L500" t="str">
        <f t="shared" si="37"/>
        <v>R</v>
      </c>
      <c r="M500" t="str">
        <f t="shared" si="38"/>
        <v>PS2_D08_2_R</v>
      </c>
    </row>
    <row r="501" spans="1:13" x14ac:dyDescent="0.25">
      <c r="A501" t="s">
        <v>508</v>
      </c>
      <c r="B501" t="s">
        <v>766</v>
      </c>
      <c r="C501" t="s">
        <v>758</v>
      </c>
      <c r="D501">
        <v>3</v>
      </c>
      <c r="E501" t="s">
        <v>751</v>
      </c>
      <c r="F501" t="s">
        <v>780</v>
      </c>
      <c r="G501" t="str">
        <f t="shared" si="39"/>
        <v>D</v>
      </c>
      <c r="H501">
        <f>_xlfn.XLOOKUP(Table2[[#This Row],[Zone]],Table1[Row],Table1[Max Bay],_xleta.NA,0)</f>
        <v>14</v>
      </c>
      <c r="I501" s="1" t="str">
        <f t="shared" si="35"/>
        <v>08</v>
      </c>
      <c r="J501">
        <f t="shared" si="36"/>
        <v>3</v>
      </c>
      <c r="K501" t="str">
        <f>_xlfn.XLOOKUP(Table2[[#This Row],[Row]],Table1[Row],Table1[StartSide],0)</f>
        <v>L</v>
      </c>
      <c r="L501" t="str">
        <f t="shared" si="37"/>
        <v>L</v>
      </c>
      <c r="M501" t="str">
        <f t="shared" si="38"/>
        <v>PS2_D08_3_L</v>
      </c>
    </row>
    <row r="502" spans="1:13" x14ac:dyDescent="0.25">
      <c r="A502" t="s">
        <v>509</v>
      </c>
      <c r="B502" t="s">
        <v>766</v>
      </c>
      <c r="C502" t="s">
        <v>758</v>
      </c>
      <c r="D502">
        <v>3</v>
      </c>
      <c r="E502" t="s">
        <v>752</v>
      </c>
      <c r="F502" t="s">
        <v>780</v>
      </c>
      <c r="G502" t="str">
        <f t="shared" si="39"/>
        <v>D</v>
      </c>
      <c r="H502">
        <f>_xlfn.XLOOKUP(Table2[[#This Row],[Zone]],Table1[Row],Table1[Max Bay],_xleta.NA,0)</f>
        <v>14</v>
      </c>
      <c r="I502" s="1" t="str">
        <f t="shared" si="35"/>
        <v>08</v>
      </c>
      <c r="J502">
        <f t="shared" si="36"/>
        <v>3</v>
      </c>
      <c r="K502" t="str">
        <f>_xlfn.XLOOKUP(Table2[[#This Row],[Row]],Table1[Row],Table1[StartSide],0)</f>
        <v>L</v>
      </c>
      <c r="L502" t="str">
        <f t="shared" si="37"/>
        <v>R</v>
      </c>
      <c r="M502" t="str">
        <f t="shared" si="38"/>
        <v>PS2_D08_3_R</v>
      </c>
    </row>
    <row r="503" spans="1:13" x14ac:dyDescent="0.25">
      <c r="A503" t="s">
        <v>510</v>
      </c>
      <c r="B503" t="s">
        <v>766</v>
      </c>
      <c r="C503" t="s">
        <v>758</v>
      </c>
      <c r="D503">
        <v>4</v>
      </c>
      <c r="E503" t="s">
        <v>751</v>
      </c>
      <c r="F503" t="s">
        <v>780</v>
      </c>
      <c r="G503" t="str">
        <f t="shared" si="39"/>
        <v>D</v>
      </c>
      <c r="H503">
        <f>_xlfn.XLOOKUP(Table2[[#This Row],[Zone]],Table1[Row],Table1[Max Bay],_xleta.NA,0)</f>
        <v>14</v>
      </c>
      <c r="I503" s="1" t="str">
        <f t="shared" si="35"/>
        <v>08</v>
      </c>
      <c r="J503">
        <f t="shared" si="36"/>
        <v>4</v>
      </c>
      <c r="K503" t="str">
        <f>_xlfn.XLOOKUP(Table2[[#This Row],[Row]],Table1[Row],Table1[StartSide],0)</f>
        <v>L</v>
      </c>
      <c r="L503" t="str">
        <f t="shared" si="37"/>
        <v>L</v>
      </c>
      <c r="M503" t="str">
        <f t="shared" si="38"/>
        <v>PS2_D08_4_L</v>
      </c>
    </row>
    <row r="504" spans="1:13" x14ac:dyDescent="0.25">
      <c r="A504" t="s">
        <v>511</v>
      </c>
      <c r="B504" t="s">
        <v>766</v>
      </c>
      <c r="C504" t="s">
        <v>758</v>
      </c>
      <c r="D504">
        <v>4</v>
      </c>
      <c r="E504" t="s">
        <v>752</v>
      </c>
      <c r="F504" t="s">
        <v>780</v>
      </c>
      <c r="G504" t="str">
        <f t="shared" si="39"/>
        <v>D</v>
      </c>
      <c r="H504">
        <f>_xlfn.XLOOKUP(Table2[[#This Row],[Zone]],Table1[Row],Table1[Max Bay],_xleta.NA,0)</f>
        <v>14</v>
      </c>
      <c r="I504" s="1" t="str">
        <f t="shared" si="35"/>
        <v>08</v>
      </c>
      <c r="J504">
        <f t="shared" si="36"/>
        <v>4</v>
      </c>
      <c r="K504" t="str">
        <f>_xlfn.XLOOKUP(Table2[[#This Row],[Row]],Table1[Row],Table1[StartSide],0)</f>
        <v>L</v>
      </c>
      <c r="L504" t="str">
        <f t="shared" si="37"/>
        <v>R</v>
      </c>
      <c r="M504" t="str">
        <f t="shared" si="38"/>
        <v>PS2_D08_4_R</v>
      </c>
    </row>
    <row r="505" spans="1:13" x14ac:dyDescent="0.25">
      <c r="A505" t="s">
        <v>512</v>
      </c>
      <c r="B505" t="s">
        <v>766</v>
      </c>
      <c r="C505" t="s">
        <v>758</v>
      </c>
      <c r="D505">
        <v>5</v>
      </c>
      <c r="E505" t="s">
        <v>751</v>
      </c>
      <c r="F505" t="s">
        <v>780</v>
      </c>
      <c r="G505" t="str">
        <f t="shared" si="39"/>
        <v>D</v>
      </c>
      <c r="H505">
        <f>_xlfn.XLOOKUP(Table2[[#This Row],[Zone]],Table1[Row],Table1[Max Bay],_xleta.NA,0)</f>
        <v>14</v>
      </c>
      <c r="I505" s="1" t="str">
        <f t="shared" si="35"/>
        <v>08</v>
      </c>
      <c r="J505">
        <f t="shared" si="36"/>
        <v>5</v>
      </c>
      <c r="K505" t="str">
        <f>_xlfn.XLOOKUP(Table2[[#This Row],[Row]],Table1[Row],Table1[StartSide],0)</f>
        <v>L</v>
      </c>
      <c r="L505" t="str">
        <f t="shared" si="37"/>
        <v>L</v>
      </c>
      <c r="M505" t="str">
        <f t="shared" si="38"/>
        <v>PS2_D08_5_L</v>
      </c>
    </row>
    <row r="506" spans="1:13" x14ac:dyDescent="0.25">
      <c r="A506" t="s">
        <v>513</v>
      </c>
      <c r="B506" t="s">
        <v>766</v>
      </c>
      <c r="C506" t="s">
        <v>758</v>
      </c>
      <c r="D506">
        <v>5</v>
      </c>
      <c r="E506" t="s">
        <v>752</v>
      </c>
      <c r="F506" t="s">
        <v>780</v>
      </c>
      <c r="G506" t="str">
        <f t="shared" si="39"/>
        <v>D</v>
      </c>
      <c r="H506">
        <f>_xlfn.XLOOKUP(Table2[[#This Row],[Zone]],Table1[Row],Table1[Max Bay],_xleta.NA,0)</f>
        <v>14</v>
      </c>
      <c r="I506" s="1" t="str">
        <f t="shared" si="35"/>
        <v>08</v>
      </c>
      <c r="J506">
        <f t="shared" si="36"/>
        <v>5</v>
      </c>
      <c r="K506" t="str">
        <f>_xlfn.XLOOKUP(Table2[[#This Row],[Row]],Table1[Row],Table1[StartSide],0)</f>
        <v>L</v>
      </c>
      <c r="L506" t="str">
        <f t="shared" si="37"/>
        <v>R</v>
      </c>
      <c r="M506" t="str">
        <f t="shared" si="38"/>
        <v>PS2_D08_5_R</v>
      </c>
    </row>
    <row r="507" spans="1:13" x14ac:dyDescent="0.25">
      <c r="A507" t="s">
        <v>514</v>
      </c>
      <c r="B507" t="s">
        <v>766</v>
      </c>
      <c r="C507" t="s">
        <v>758</v>
      </c>
      <c r="D507">
        <v>6</v>
      </c>
      <c r="E507" t="s">
        <v>751</v>
      </c>
      <c r="F507" t="s">
        <v>780</v>
      </c>
      <c r="G507" t="str">
        <f t="shared" si="39"/>
        <v>D</v>
      </c>
      <c r="H507">
        <f>_xlfn.XLOOKUP(Table2[[#This Row],[Zone]],Table1[Row],Table1[Max Bay],_xleta.NA,0)</f>
        <v>14</v>
      </c>
      <c r="I507" s="1" t="str">
        <f t="shared" si="35"/>
        <v>08</v>
      </c>
      <c r="J507">
        <f t="shared" si="36"/>
        <v>6</v>
      </c>
      <c r="K507" t="str">
        <f>_xlfn.XLOOKUP(Table2[[#This Row],[Row]],Table1[Row],Table1[StartSide],0)</f>
        <v>L</v>
      </c>
      <c r="L507" t="str">
        <f t="shared" si="37"/>
        <v>L</v>
      </c>
      <c r="M507" t="str">
        <f t="shared" si="38"/>
        <v>PS2_D08_6_L</v>
      </c>
    </row>
    <row r="508" spans="1:13" x14ac:dyDescent="0.25">
      <c r="A508" t="s">
        <v>515</v>
      </c>
      <c r="B508" t="s">
        <v>766</v>
      </c>
      <c r="C508" t="s">
        <v>758</v>
      </c>
      <c r="D508">
        <v>6</v>
      </c>
      <c r="E508" t="s">
        <v>752</v>
      </c>
      <c r="F508" t="s">
        <v>780</v>
      </c>
      <c r="G508" t="str">
        <f t="shared" si="39"/>
        <v>D</v>
      </c>
      <c r="H508">
        <f>_xlfn.XLOOKUP(Table2[[#This Row],[Zone]],Table1[Row],Table1[Max Bay],_xleta.NA,0)</f>
        <v>14</v>
      </c>
      <c r="I508" s="1" t="str">
        <f t="shared" si="35"/>
        <v>08</v>
      </c>
      <c r="J508">
        <f t="shared" si="36"/>
        <v>6</v>
      </c>
      <c r="K508" t="str">
        <f>_xlfn.XLOOKUP(Table2[[#This Row],[Row]],Table1[Row],Table1[StartSide],0)</f>
        <v>L</v>
      </c>
      <c r="L508" t="str">
        <f t="shared" si="37"/>
        <v>R</v>
      </c>
      <c r="M508" t="str">
        <f t="shared" si="38"/>
        <v>PS2_D08_6_R</v>
      </c>
    </row>
    <row r="509" spans="1:13" x14ac:dyDescent="0.25">
      <c r="A509" t="s">
        <v>516</v>
      </c>
      <c r="B509" t="s">
        <v>766</v>
      </c>
      <c r="C509" t="s">
        <v>759</v>
      </c>
      <c r="D509">
        <v>1</v>
      </c>
      <c r="E509" t="s">
        <v>751</v>
      </c>
      <c r="F509" t="s">
        <v>780</v>
      </c>
      <c r="G509" t="str">
        <f t="shared" si="39"/>
        <v>D</v>
      </c>
      <c r="H509">
        <f>_xlfn.XLOOKUP(Table2[[#This Row],[Zone]],Table1[Row],Table1[Max Bay],_xleta.NA,0)</f>
        <v>14</v>
      </c>
      <c r="I509" s="1" t="str">
        <f t="shared" si="35"/>
        <v>07</v>
      </c>
      <c r="J509">
        <f t="shared" si="36"/>
        <v>1</v>
      </c>
      <c r="K509" t="str">
        <f>_xlfn.XLOOKUP(Table2[[#This Row],[Row]],Table1[Row],Table1[StartSide],0)</f>
        <v>L</v>
      </c>
      <c r="L509" t="str">
        <f t="shared" si="37"/>
        <v>L</v>
      </c>
      <c r="M509" t="str">
        <f t="shared" si="38"/>
        <v>PS2_D07_1_L</v>
      </c>
    </row>
    <row r="510" spans="1:13" x14ac:dyDescent="0.25">
      <c r="A510" t="s">
        <v>517</v>
      </c>
      <c r="B510" t="s">
        <v>766</v>
      </c>
      <c r="C510" t="s">
        <v>759</v>
      </c>
      <c r="D510">
        <v>1</v>
      </c>
      <c r="E510" t="s">
        <v>752</v>
      </c>
      <c r="F510" t="s">
        <v>780</v>
      </c>
      <c r="G510" t="str">
        <f t="shared" si="39"/>
        <v>D</v>
      </c>
      <c r="H510">
        <f>_xlfn.XLOOKUP(Table2[[#This Row],[Zone]],Table1[Row],Table1[Max Bay],_xleta.NA,0)</f>
        <v>14</v>
      </c>
      <c r="I510" s="1" t="str">
        <f t="shared" si="35"/>
        <v>07</v>
      </c>
      <c r="J510">
        <f t="shared" si="36"/>
        <v>1</v>
      </c>
      <c r="K510" t="str">
        <f>_xlfn.XLOOKUP(Table2[[#This Row],[Row]],Table1[Row],Table1[StartSide],0)</f>
        <v>L</v>
      </c>
      <c r="L510" t="str">
        <f t="shared" si="37"/>
        <v>R</v>
      </c>
      <c r="M510" t="str">
        <f t="shared" si="38"/>
        <v>PS2_D07_1_R</v>
      </c>
    </row>
    <row r="511" spans="1:13" x14ac:dyDescent="0.25">
      <c r="A511" t="s">
        <v>518</v>
      </c>
      <c r="B511" t="s">
        <v>766</v>
      </c>
      <c r="C511" t="s">
        <v>759</v>
      </c>
      <c r="D511">
        <v>2</v>
      </c>
      <c r="E511" t="s">
        <v>751</v>
      </c>
      <c r="F511" t="s">
        <v>780</v>
      </c>
      <c r="G511" t="str">
        <f t="shared" si="39"/>
        <v>D</v>
      </c>
      <c r="H511">
        <f>_xlfn.XLOOKUP(Table2[[#This Row],[Zone]],Table1[Row],Table1[Max Bay],_xleta.NA,0)</f>
        <v>14</v>
      </c>
      <c r="I511" s="1" t="str">
        <f t="shared" si="35"/>
        <v>07</v>
      </c>
      <c r="J511">
        <f t="shared" si="36"/>
        <v>2</v>
      </c>
      <c r="K511" t="str">
        <f>_xlfn.XLOOKUP(Table2[[#This Row],[Row]],Table1[Row],Table1[StartSide],0)</f>
        <v>L</v>
      </c>
      <c r="L511" t="str">
        <f t="shared" si="37"/>
        <v>L</v>
      </c>
      <c r="M511" t="str">
        <f t="shared" si="38"/>
        <v>PS2_D07_2_L</v>
      </c>
    </row>
    <row r="512" spans="1:13" x14ac:dyDescent="0.25">
      <c r="A512" t="s">
        <v>519</v>
      </c>
      <c r="B512" t="s">
        <v>766</v>
      </c>
      <c r="C512" t="s">
        <v>759</v>
      </c>
      <c r="D512">
        <v>2</v>
      </c>
      <c r="E512" t="s">
        <v>752</v>
      </c>
      <c r="F512" t="s">
        <v>780</v>
      </c>
      <c r="G512" t="str">
        <f t="shared" si="39"/>
        <v>D</v>
      </c>
      <c r="H512">
        <f>_xlfn.XLOOKUP(Table2[[#This Row],[Zone]],Table1[Row],Table1[Max Bay],_xleta.NA,0)</f>
        <v>14</v>
      </c>
      <c r="I512" s="1" t="str">
        <f t="shared" si="35"/>
        <v>07</v>
      </c>
      <c r="J512">
        <f t="shared" si="36"/>
        <v>2</v>
      </c>
      <c r="K512" t="str">
        <f>_xlfn.XLOOKUP(Table2[[#This Row],[Row]],Table1[Row],Table1[StartSide],0)</f>
        <v>L</v>
      </c>
      <c r="L512" t="str">
        <f t="shared" si="37"/>
        <v>R</v>
      </c>
      <c r="M512" t="str">
        <f t="shared" si="38"/>
        <v>PS2_D07_2_R</v>
      </c>
    </row>
    <row r="513" spans="1:13" x14ac:dyDescent="0.25">
      <c r="A513" t="s">
        <v>520</v>
      </c>
      <c r="B513" t="s">
        <v>766</v>
      </c>
      <c r="C513" t="s">
        <v>759</v>
      </c>
      <c r="D513">
        <v>3</v>
      </c>
      <c r="E513" t="s">
        <v>751</v>
      </c>
      <c r="F513" t="s">
        <v>780</v>
      </c>
      <c r="G513" t="str">
        <f t="shared" si="39"/>
        <v>D</v>
      </c>
      <c r="H513">
        <f>_xlfn.XLOOKUP(Table2[[#This Row],[Zone]],Table1[Row],Table1[Max Bay],_xleta.NA,0)</f>
        <v>14</v>
      </c>
      <c r="I513" s="1" t="str">
        <f t="shared" si="35"/>
        <v>07</v>
      </c>
      <c r="J513">
        <f t="shared" si="36"/>
        <v>3</v>
      </c>
      <c r="K513" t="str">
        <f>_xlfn.XLOOKUP(Table2[[#This Row],[Row]],Table1[Row],Table1[StartSide],0)</f>
        <v>L</v>
      </c>
      <c r="L513" t="str">
        <f t="shared" si="37"/>
        <v>L</v>
      </c>
      <c r="M513" t="str">
        <f t="shared" si="38"/>
        <v>PS2_D07_3_L</v>
      </c>
    </row>
    <row r="514" spans="1:13" x14ac:dyDescent="0.25">
      <c r="A514" t="s">
        <v>521</v>
      </c>
      <c r="B514" t="s">
        <v>766</v>
      </c>
      <c r="C514" t="s">
        <v>759</v>
      </c>
      <c r="D514">
        <v>3</v>
      </c>
      <c r="E514" t="s">
        <v>752</v>
      </c>
      <c r="F514" t="s">
        <v>780</v>
      </c>
      <c r="G514" t="str">
        <f t="shared" si="39"/>
        <v>D</v>
      </c>
      <c r="H514">
        <f>_xlfn.XLOOKUP(Table2[[#This Row],[Zone]],Table1[Row],Table1[Max Bay],_xleta.NA,0)</f>
        <v>14</v>
      </c>
      <c r="I514" s="1" t="str">
        <f t="shared" ref="I514:I577" si="40">TEXT(H514-INT(C514)+1,"00")</f>
        <v>07</v>
      </c>
      <c r="J514">
        <f t="shared" ref="J514:J577" si="41">D514</f>
        <v>3</v>
      </c>
      <c r="K514" t="str">
        <f>_xlfn.XLOOKUP(Table2[[#This Row],[Row]],Table1[Row],Table1[StartSide],0)</f>
        <v>L</v>
      </c>
      <c r="L514" t="str">
        <f t="shared" ref="L514:L577" si="42">E514</f>
        <v>R</v>
      </c>
      <c r="M514" t="str">
        <f t="shared" ref="M514:M577" si="43">_xlfn.CONCAT(F514,"_",G514,I514,"_",J514,"_",L514)</f>
        <v>PS2_D07_3_R</v>
      </c>
    </row>
    <row r="515" spans="1:13" x14ac:dyDescent="0.25">
      <c r="A515" t="s">
        <v>522</v>
      </c>
      <c r="B515" t="s">
        <v>766</v>
      </c>
      <c r="C515" t="s">
        <v>759</v>
      </c>
      <c r="D515">
        <v>4</v>
      </c>
      <c r="E515" t="s">
        <v>751</v>
      </c>
      <c r="F515" t="s">
        <v>780</v>
      </c>
      <c r="G515" t="str">
        <f t="shared" ref="G515:G578" si="44">B515</f>
        <v>D</v>
      </c>
      <c r="H515">
        <f>_xlfn.XLOOKUP(Table2[[#This Row],[Zone]],Table1[Row],Table1[Max Bay],_xleta.NA,0)</f>
        <v>14</v>
      </c>
      <c r="I515" s="1" t="str">
        <f t="shared" si="40"/>
        <v>07</v>
      </c>
      <c r="J515">
        <f t="shared" si="41"/>
        <v>4</v>
      </c>
      <c r="K515" t="str">
        <f>_xlfn.XLOOKUP(Table2[[#This Row],[Row]],Table1[Row],Table1[StartSide],0)</f>
        <v>L</v>
      </c>
      <c r="L515" t="str">
        <f t="shared" si="42"/>
        <v>L</v>
      </c>
      <c r="M515" t="str">
        <f t="shared" si="43"/>
        <v>PS2_D07_4_L</v>
      </c>
    </row>
    <row r="516" spans="1:13" x14ac:dyDescent="0.25">
      <c r="A516" t="s">
        <v>523</v>
      </c>
      <c r="B516" t="s">
        <v>766</v>
      </c>
      <c r="C516" t="s">
        <v>759</v>
      </c>
      <c r="D516">
        <v>4</v>
      </c>
      <c r="E516" t="s">
        <v>752</v>
      </c>
      <c r="F516" t="s">
        <v>780</v>
      </c>
      <c r="G516" t="str">
        <f t="shared" si="44"/>
        <v>D</v>
      </c>
      <c r="H516">
        <f>_xlfn.XLOOKUP(Table2[[#This Row],[Zone]],Table1[Row],Table1[Max Bay],_xleta.NA,0)</f>
        <v>14</v>
      </c>
      <c r="I516" s="1" t="str">
        <f t="shared" si="40"/>
        <v>07</v>
      </c>
      <c r="J516">
        <f t="shared" si="41"/>
        <v>4</v>
      </c>
      <c r="K516" t="str">
        <f>_xlfn.XLOOKUP(Table2[[#This Row],[Row]],Table1[Row],Table1[StartSide],0)</f>
        <v>L</v>
      </c>
      <c r="L516" t="str">
        <f t="shared" si="42"/>
        <v>R</v>
      </c>
      <c r="M516" t="str">
        <f t="shared" si="43"/>
        <v>PS2_D07_4_R</v>
      </c>
    </row>
    <row r="517" spans="1:13" x14ac:dyDescent="0.25">
      <c r="A517" t="s">
        <v>524</v>
      </c>
      <c r="B517" t="s">
        <v>766</v>
      </c>
      <c r="C517" t="s">
        <v>759</v>
      </c>
      <c r="D517">
        <v>5</v>
      </c>
      <c r="E517" t="s">
        <v>751</v>
      </c>
      <c r="F517" t="s">
        <v>780</v>
      </c>
      <c r="G517" t="str">
        <f t="shared" si="44"/>
        <v>D</v>
      </c>
      <c r="H517">
        <f>_xlfn.XLOOKUP(Table2[[#This Row],[Zone]],Table1[Row],Table1[Max Bay],_xleta.NA,0)</f>
        <v>14</v>
      </c>
      <c r="I517" s="1" t="str">
        <f t="shared" si="40"/>
        <v>07</v>
      </c>
      <c r="J517">
        <f t="shared" si="41"/>
        <v>5</v>
      </c>
      <c r="K517" t="str">
        <f>_xlfn.XLOOKUP(Table2[[#This Row],[Row]],Table1[Row],Table1[StartSide],0)</f>
        <v>L</v>
      </c>
      <c r="L517" t="str">
        <f t="shared" si="42"/>
        <v>L</v>
      </c>
      <c r="M517" t="str">
        <f t="shared" si="43"/>
        <v>PS2_D07_5_L</v>
      </c>
    </row>
    <row r="518" spans="1:13" x14ac:dyDescent="0.25">
      <c r="A518" t="s">
        <v>525</v>
      </c>
      <c r="B518" t="s">
        <v>766</v>
      </c>
      <c r="C518" t="s">
        <v>759</v>
      </c>
      <c r="D518">
        <v>5</v>
      </c>
      <c r="E518" t="s">
        <v>752</v>
      </c>
      <c r="F518" t="s">
        <v>780</v>
      </c>
      <c r="G518" t="str">
        <f t="shared" si="44"/>
        <v>D</v>
      </c>
      <c r="H518">
        <f>_xlfn.XLOOKUP(Table2[[#This Row],[Zone]],Table1[Row],Table1[Max Bay],_xleta.NA,0)</f>
        <v>14</v>
      </c>
      <c r="I518" s="1" t="str">
        <f t="shared" si="40"/>
        <v>07</v>
      </c>
      <c r="J518">
        <f t="shared" si="41"/>
        <v>5</v>
      </c>
      <c r="K518" t="str">
        <f>_xlfn.XLOOKUP(Table2[[#This Row],[Row]],Table1[Row],Table1[StartSide],0)</f>
        <v>L</v>
      </c>
      <c r="L518" t="str">
        <f t="shared" si="42"/>
        <v>R</v>
      </c>
      <c r="M518" t="str">
        <f t="shared" si="43"/>
        <v>PS2_D07_5_R</v>
      </c>
    </row>
    <row r="519" spans="1:13" x14ac:dyDescent="0.25">
      <c r="A519" t="s">
        <v>526</v>
      </c>
      <c r="B519" t="s">
        <v>766</v>
      </c>
      <c r="C519" t="s">
        <v>759</v>
      </c>
      <c r="D519">
        <v>6</v>
      </c>
      <c r="E519" t="s">
        <v>751</v>
      </c>
      <c r="F519" t="s">
        <v>780</v>
      </c>
      <c r="G519" t="str">
        <f t="shared" si="44"/>
        <v>D</v>
      </c>
      <c r="H519">
        <f>_xlfn.XLOOKUP(Table2[[#This Row],[Zone]],Table1[Row],Table1[Max Bay],_xleta.NA,0)</f>
        <v>14</v>
      </c>
      <c r="I519" s="1" t="str">
        <f t="shared" si="40"/>
        <v>07</v>
      </c>
      <c r="J519">
        <f t="shared" si="41"/>
        <v>6</v>
      </c>
      <c r="K519" t="str">
        <f>_xlfn.XLOOKUP(Table2[[#This Row],[Row]],Table1[Row],Table1[StartSide],0)</f>
        <v>L</v>
      </c>
      <c r="L519" t="str">
        <f t="shared" si="42"/>
        <v>L</v>
      </c>
      <c r="M519" t="str">
        <f t="shared" si="43"/>
        <v>PS2_D07_6_L</v>
      </c>
    </row>
    <row r="520" spans="1:13" x14ac:dyDescent="0.25">
      <c r="A520" t="s">
        <v>527</v>
      </c>
      <c r="B520" t="s">
        <v>766</v>
      </c>
      <c r="C520" t="s">
        <v>760</v>
      </c>
      <c r="D520">
        <v>1</v>
      </c>
      <c r="E520" t="s">
        <v>751</v>
      </c>
      <c r="F520" t="s">
        <v>780</v>
      </c>
      <c r="G520" t="str">
        <f t="shared" si="44"/>
        <v>D</v>
      </c>
      <c r="H520">
        <f>_xlfn.XLOOKUP(Table2[[#This Row],[Zone]],Table1[Row],Table1[Max Bay],_xleta.NA,0)</f>
        <v>14</v>
      </c>
      <c r="I520" s="1" t="str">
        <f t="shared" si="40"/>
        <v>06</v>
      </c>
      <c r="J520">
        <f t="shared" si="41"/>
        <v>1</v>
      </c>
      <c r="K520" t="str">
        <f>_xlfn.XLOOKUP(Table2[[#This Row],[Row]],Table1[Row],Table1[StartSide],0)</f>
        <v>L</v>
      </c>
      <c r="L520" t="str">
        <f t="shared" si="42"/>
        <v>L</v>
      </c>
      <c r="M520" t="str">
        <f t="shared" si="43"/>
        <v>PS2_D06_1_L</v>
      </c>
    </row>
    <row r="521" spans="1:13" x14ac:dyDescent="0.25">
      <c r="A521" t="s">
        <v>528</v>
      </c>
      <c r="B521" t="s">
        <v>766</v>
      </c>
      <c r="C521" t="s">
        <v>760</v>
      </c>
      <c r="D521">
        <v>1</v>
      </c>
      <c r="E521" t="s">
        <v>752</v>
      </c>
      <c r="F521" t="s">
        <v>780</v>
      </c>
      <c r="G521" t="str">
        <f t="shared" si="44"/>
        <v>D</v>
      </c>
      <c r="H521">
        <f>_xlfn.XLOOKUP(Table2[[#This Row],[Zone]],Table1[Row],Table1[Max Bay],_xleta.NA,0)</f>
        <v>14</v>
      </c>
      <c r="I521" s="1" t="str">
        <f t="shared" si="40"/>
        <v>06</v>
      </c>
      <c r="J521">
        <f t="shared" si="41"/>
        <v>1</v>
      </c>
      <c r="K521" t="str">
        <f>_xlfn.XLOOKUP(Table2[[#This Row],[Row]],Table1[Row],Table1[StartSide],0)</f>
        <v>L</v>
      </c>
      <c r="L521" t="str">
        <f t="shared" si="42"/>
        <v>R</v>
      </c>
      <c r="M521" t="str">
        <f t="shared" si="43"/>
        <v>PS2_D06_1_R</v>
      </c>
    </row>
    <row r="522" spans="1:13" x14ac:dyDescent="0.25">
      <c r="A522" t="s">
        <v>529</v>
      </c>
      <c r="B522" t="s">
        <v>766</v>
      </c>
      <c r="C522" t="s">
        <v>760</v>
      </c>
      <c r="D522">
        <v>2</v>
      </c>
      <c r="E522" t="s">
        <v>751</v>
      </c>
      <c r="F522" t="s">
        <v>780</v>
      </c>
      <c r="G522" t="str">
        <f t="shared" si="44"/>
        <v>D</v>
      </c>
      <c r="H522">
        <f>_xlfn.XLOOKUP(Table2[[#This Row],[Zone]],Table1[Row],Table1[Max Bay],_xleta.NA,0)</f>
        <v>14</v>
      </c>
      <c r="I522" s="1" t="str">
        <f t="shared" si="40"/>
        <v>06</v>
      </c>
      <c r="J522">
        <f t="shared" si="41"/>
        <v>2</v>
      </c>
      <c r="K522" t="str">
        <f>_xlfn.XLOOKUP(Table2[[#This Row],[Row]],Table1[Row],Table1[StartSide],0)</f>
        <v>L</v>
      </c>
      <c r="L522" t="str">
        <f t="shared" si="42"/>
        <v>L</v>
      </c>
      <c r="M522" t="str">
        <f t="shared" si="43"/>
        <v>PS2_D06_2_L</v>
      </c>
    </row>
    <row r="523" spans="1:13" x14ac:dyDescent="0.25">
      <c r="A523" t="s">
        <v>530</v>
      </c>
      <c r="B523" t="s">
        <v>766</v>
      </c>
      <c r="C523" t="s">
        <v>760</v>
      </c>
      <c r="D523">
        <v>2</v>
      </c>
      <c r="E523" t="s">
        <v>752</v>
      </c>
      <c r="F523" t="s">
        <v>780</v>
      </c>
      <c r="G523" t="str">
        <f t="shared" si="44"/>
        <v>D</v>
      </c>
      <c r="H523">
        <f>_xlfn.XLOOKUP(Table2[[#This Row],[Zone]],Table1[Row],Table1[Max Bay],_xleta.NA,0)</f>
        <v>14</v>
      </c>
      <c r="I523" s="1" t="str">
        <f t="shared" si="40"/>
        <v>06</v>
      </c>
      <c r="J523">
        <f t="shared" si="41"/>
        <v>2</v>
      </c>
      <c r="K523" t="str">
        <f>_xlfn.XLOOKUP(Table2[[#This Row],[Row]],Table1[Row],Table1[StartSide],0)</f>
        <v>L</v>
      </c>
      <c r="L523" t="str">
        <f t="shared" si="42"/>
        <v>R</v>
      </c>
      <c r="M523" t="str">
        <f t="shared" si="43"/>
        <v>PS2_D06_2_R</v>
      </c>
    </row>
    <row r="524" spans="1:13" x14ac:dyDescent="0.25">
      <c r="A524" t="s">
        <v>531</v>
      </c>
      <c r="B524" t="s">
        <v>766</v>
      </c>
      <c r="C524" t="s">
        <v>760</v>
      </c>
      <c r="D524">
        <v>3</v>
      </c>
      <c r="E524" t="s">
        <v>751</v>
      </c>
      <c r="F524" t="s">
        <v>780</v>
      </c>
      <c r="G524" t="str">
        <f t="shared" si="44"/>
        <v>D</v>
      </c>
      <c r="H524">
        <f>_xlfn.XLOOKUP(Table2[[#This Row],[Zone]],Table1[Row],Table1[Max Bay],_xleta.NA,0)</f>
        <v>14</v>
      </c>
      <c r="I524" s="1" t="str">
        <f t="shared" si="40"/>
        <v>06</v>
      </c>
      <c r="J524">
        <f t="shared" si="41"/>
        <v>3</v>
      </c>
      <c r="K524" t="str">
        <f>_xlfn.XLOOKUP(Table2[[#This Row],[Row]],Table1[Row],Table1[StartSide],0)</f>
        <v>L</v>
      </c>
      <c r="L524" t="str">
        <f t="shared" si="42"/>
        <v>L</v>
      </c>
      <c r="M524" t="str">
        <f t="shared" si="43"/>
        <v>PS2_D06_3_L</v>
      </c>
    </row>
    <row r="525" spans="1:13" x14ac:dyDescent="0.25">
      <c r="A525" t="s">
        <v>532</v>
      </c>
      <c r="B525" t="s">
        <v>766</v>
      </c>
      <c r="C525" t="s">
        <v>760</v>
      </c>
      <c r="D525">
        <v>3</v>
      </c>
      <c r="E525" t="s">
        <v>752</v>
      </c>
      <c r="F525" t="s">
        <v>780</v>
      </c>
      <c r="G525" t="str">
        <f t="shared" si="44"/>
        <v>D</v>
      </c>
      <c r="H525">
        <f>_xlfn.XLOOKUP(Table2[[#This Row],[Zone]],Table1[Row],Table1[Max Bay],_xleta.NA,0)</f>
        <v>14</v>
      </c>
      <c r="I525" s="1" t="str">
        <f t="shared" si="40"/>
        <v>06</v>
      </c>
      <c r="J525">
        <f t="shared" si="41"/>
        <v>3</v>
      </c>
      <c r="K525" t="str">
        <f>_xlfn.XLOOKUP(Table2[[#This Row],[Row]],Table1[Row],Table1[StartSide],0)</f>
        <v>L</v>
      </c>
      <c r="L525" t="str">
        <f t="shared" si="42"/>
        <v>R</v>
      </c>
      <c r="M525" t="str">
        <f t="shared" si="43"/>
        <v>PS2_D06_3_R</v>
      </c>
    </row>
    <row r="526" spans="1:13" x14ac:dyDescent="0.25">
      <c r="A526" t="s">
        <v>533</v>
      </c>
      <c r="B526" t="s">
        <v>766</v>
      </c>
      <c r="C526" t="s">
        <v>760</v>
      </c>
      <c r="D526">
        <v>4</v>
      </c>
      <c r="E526" t="s">
        <v>751</v>
      </c>
      <c r="F526" t="s">
        <v>780</v>
      </c>
      <c r="G526" t="str">
        <f t="shared" si="44"/>
        <v>D</v>
      </c>
      <c r="H526">
        <f>_xlfn.XLOOKUP(Table2[[#This Row],[Zone]],Table1[Row],Table1[Max Bay],_xleta.NA,0)</f>
        <v>14</v>
      </c>
      <c r="I526" s="1" t="str">
        <f t="shared" si="40"/>
        <v>06</v>
      </c>
      <c r="J526">
        <f t="shared" si="41"/>
        <v>4</v>
      </c>
      <c r="K526" t="str">
        <f>_xlfn.XLOOKUP(Table2[[#This Row],[Row]],Table1[Row],Table1[StartSide],0)</f>
        <v>L</v>
      </c>
      <c r="L526" t="str">
        <f t="shared" si="42"/>
        <v>L</v>
      </c>
      <c r="M526" t="str">
        <f t="shared" si="43"/>
        <v>PS2_D06_4_L</v>
      </c>
    </row>
    <row r="527" spans="1:13" x14ac:dyDescent="0.25">
      <c r="A527" t="s">
        <v>534</v>
      </c>
      <c r="B527" t="s">
        <v>766</v>
      </c>
      <c r="C527" t="s">
        <v>760</v>
      </c>
      <c r="D527">
        <v>4</v>
      </c>
      <c r="E527" t="s">
        <v>752</v>
      </c>
      <c r="F527" t="s">
        <v>780</v>
      </c>
      <c r="G527" t="str">
        <f t="shared" si="44"/>
        <v>D</v>
      </c>
      <c r="H527">
        <f>_xlfn.XLOOKUP(Table2[[#This Row],[Zone]],Table1[Row],Table1[Max Bay],_xleta.NA,0)</f>
        <v>14</v>
      </c>
      <c r="I527" s="1" t="str">
        <f t="shared" si="40"/>
        <v>06</v>
      </c>
      <c r="J527">
        <f t="shared" si="41"/>
        <v>4</v>
      </c>
      <c r="K527" t="str">
        <f>_xlfn.XLOOKUP(Table2[[#This Row],[Row]],Table1[Row],Table1[StartSide],0)</f>
        <v>L</v>
      </c>
      <c r="L527" t="str">
        <f t="shared" si="42"/>
        <v>R</v>
      </c>
      <c r="M527" t="str">
        <f t="shared" si="43"/>
        <v>PS2_D06_4_R</v>
      </c>
    </row>
    <row r="528" spans="1:13" x14ac:dyDescent="0.25">
      <c r="A528" t="s">
        <v>535</v>
      </c>
      <c r="B528" t="s">
        <v>766</v>
      </c>
      <c r="C528" t="s">
        <v>760</v>
      </c>
      <c r="D528">
        <v>5</v>
      </c>
      <c r="E528" t="s">
        <v>751</v>
      </c>
      <c r="F528" t="s">
        <v>780</v>
      </c>
      <c r="G528" t="str">
        <f t="shared" si="44"/>
        <v>D</v>
      </c>
      <c r="H528">
        <f>_xlfn.XLOOKUP(Table2[[#This Row],[Zone]],Table1[Row],Table1[Max Bay],_xleta.NA,0)</f>
        <v>14</v>
      </c>
      <c r="I528" s="1" t="str">
        <f t="shared" si="40"/>
        <v>06</v>
      </c>
      <c r="J528">
        <f t="shared" si="41"/>
        <v>5</v>
      </c>
      <c r="K528" t="str">
        <f>_xlfn.XLOOKUP(Table2[[#This Row],[Row]],Table1[Row],Table1[StartSide],0)</f>
        <v>L</v>
      </c>
      <c r="L528" t="str">
        <f t="shared" si="42"/>
        <v>L</v>
      </c>
      <c r="M528" t="str">
        <f t="shared" si="43"/>
        <v>PS2_D06_5_L</v>
      </c>
    </row>
    <row r="529" spans="1:13" x14ac:dyDescent="0.25">
      <c r="A529" t="s">
        <v>536</v>
      </c>
      <c r="B529" t="s">
        <v>766</v>
      </c>
      <c r="C529" t="s">
        <v>760</v>
      </c>
      <c r="D529">
        <v>5</v>
      </c>
      <c r="E529" t="s">
        <v>752</v>
      </c>
      <c r="F529" t="s">
        <v>780</v>
      </c>
      <c r="G529" t="str">
        <f t="shared" si="44"/>
        <v>D</v>
      </c>
      <c r="H529">
        <f>_xlfn.XLOOKUP(Table2[[#This Row],[Zone]],Table1[Row],Table1[Max Bay],_xleta.NA,0)</f>
        <v>14</v>
      </c>
      <c r="I529" s="1" t="str">
        <f t="shared" si="40"/>
        <v>06</v>
      </c>
      <c r="J529">
        <f t="shared" si="41"/>
        <v>5</v>
      </c>
      <c r="K529" t="str">
        <f>_xlfn.XLOOKUP(Table2[[#This Row],[Row]],Table1[Row],Table1[StartSide],0)</f>
        <v>L</v>
      </c>
      <c r="L529" t="str">
        <f t="shared" si="42"/>
        <v>R</v>
      </c>
      <c r="M529" t="str">
        <f t="shared" si="43"/>
        <v>PS2_D06_5_R</v>
      </c>
    </row>
    <row r="530" spans="1:13" x14ac:dyDescent="0.25">
      <c r="A530" t="s">
        <v>537</v>
      </c>
      <c r="B530" t="s">
        <v>766</v>
      </c>
      <c r="C530" t="s">
        <v>760</v>
      </c>
      <c r="D530">
        <v>6</v>
      </c>
      <c r="E530" t="s">
        <v>751</v>
      </c>
      <c r="F530" t="s">
        <v>780</v>
      </c>
      <c r="G530" t="str">
        <f t="shared" si="44"/>
        <v>D</v>
      </c>
      <c r="H530">
        <f>_xlfn.XLOOKUP(Table2[[#This Row],[Zone]],Table1[Row],Table1[Max Bay],_xleta.NA,0)</f>
        <v>14</v>
      </c>
      <c r="I530" s="1" t="str">
        <f t="shared" si="40"/>
        <v>06</v>
      </c>
      <c r="J530">
        <f t="shared" si="41"/>
        <v>6</v>
      </c>
      <c r="K530" t="str">
        <f>_xlfn.XLOOKUP(Table2[[#This Row],[Row]],Table1[Row],Table1[StartSide],0)</f>
        <v>L</v>
      </c>
      <c r="L530" t="str">
        <f t="shared" si="42"/>
        <v>L</v>
      </c>
      <c r="M530" t="str">
        <f t="shared" si="43"/>
        <v>PS2_D06_6_L</v>
      </c>
    </row>
    <row r="531" spans="1:13" x14ac:dyDescent="0.25">
      <c r="A531" t="s">
        <v>538</v>
      </c>
      <c r="B531" t="s">
        <v>766</v>
      </c>
      <c r="C531" t="s">
        <v>760</v>
      </c>
      <c r="D531">
        <v>6</v>
      </c>
      <c r="E531" t="s">
        <v>752</v>
      </c>
      <c r="F531" t="s">
        <v>780</v>
      </c>
      <c r="G531" t="str">
        <f t="shared" si="44"/>
        <v>D</v>
      </c>
      <c r="H531">
        <f>_xlfn.XLOOKUP(Table2[[#This Row],[Zone]],Table1[Row],Table1[Max Bay],_xleta.NA,0)</f>
        <v>14</v>
      </c>
      <c r="I531" s="1" t="str">
        <f t="shared" si="40"/>
        <v>06</v>
      </c>
      <c r="J531">
        <f t="shared" si="41"/>
        <v>6</v>
      </c>
      <c r="K531" t="str">
        <f>_xlfn.XLOOKUP(Table2[[#This Row],[Row]],Table1[Row],Table1[StartSide],0)</f>
        <v>L</v>
      </c>
      <c r="L531" t="str">
        <f t="shared" si="42"/>
        <v>R</v>
      </c>
      <c r="M531" t="str">
        <f t="shared" si="43"/>
        <v>PS2_D06_6_R</v>
      </c>
    </row>
    <row r="532" spans="1:13" x14ac:dyDescent="0.25">
      <c r="A532" t="s">
        <v>539</v>
      </c>
      <c r="B532" t="s">
        <v>766</v>
      </c>
      <c r="C532" t="s">
        <v>761</v>
      </c>
      <c r="D532">
        <v>1</v>
      </c>
      <c r="E532" t="s">
        <v>751</v>
      </c>
      <c r="F532" t="s">
        <v>780</v>
      </c>
      <c r="G532" t="str">
        <f t="shared" si="44"/>
        <v>D</v>
      </c>
      <c r="H532">
        <f>_xlfn.XLOOKUP(Table2[[#This Row],[Zone]],Table1[Row],Table1[Max Bay],_xleta.NA,0)</f>
        <v>14</v>
      </c>
      <c r="I532" s="1" t="str">
        <f t="shared" si="40"/>
        <v>05</v>
      </c>
      <c r="J532">
        <f t="shared" si="41"/>
        <v>1</v>
      </c>
      <c r="K532" t="str">
        <f>_xlfn.XLOOKUP(Table2[[#This Row],[Row]],Table1[Row],Table1[StartSide],0)</f>
        <v>L</v>
      </c>
      <c r="L532" t="str">
        <f t="shared" si="42"/>
        <v>L</v>
      </c>
      <c r="M532" t="str">
        <f t="shared" si="43"/>
        <v>PS2_D05_1_L</v>
      </c>
    </row>
    <row r="533" spans="1:13" x14ac:dyDescent="0.25">
      <c r="A533" t="s">
        <v>540</v>
      </c>
      <c r="B533" t="s">
        <v>766</v>
      </c>
      <c r="C533" t="s">
        <v>761</v>
      </c>
      <c r="D533">
        <v>1</v>
      </c>
      <c r="E533" t="s">
        <v>752</v>
      </c>
      <c r="F533" t="s">
        <v>780</v>
      </c>
      <c r="G533" t="str">
        <f t="shared" si="44"/>
        <v>D</v>
      </c>
      <c r="H533">
        <f>_xlfn.XLOOKUP(Table2[[#This Row],[Zone]],Table1[Row],Table1[Max Bay],_xleta.NA,0)</f>
        <v>14</v>
      </c>
      <c r="I533" s="1" t="str">
        <f t="shared" si="40"/>
        <v>05</v>
      </c>
      <c r="J533">
        <f t="shared" si="41"/>
        <v>1</v>
      </c>
      <c r="K533" t="str">
        <f>_xlfn.XLOOKUP(Table2[[#This Row],[Row]],Table1[Row],Table1[StartSide],0)</f>
        <v>L</v>
      </c>
      <c r="L533" t="str">
        <f t="shared" si="42"/>
        <v>R</v>
      </c>
      <c r="M533" t="str">
        <f t="shared" si="43"/>
        <v>PS2_D05_1_R</v>
      </c>
    </row>
    <row r="534" spans="1:13" x14ac:dyDescent="0.25">
      <c r="A534" t="s">
        <v>541</v>
      </c>
      <c r="B534" t="s">
        <v>766</v>
      </c>
      <c r="C534" t="s">
        <v>761</v>
      </c>
      <c r="D534">
        <v>2</v>
      </c>
      <c r="E534" t="s">
        <v>751</v>
      </c>
      <c r="F534" t="s">
        <v>780</v>
      </c>
      <c r="G534" t="str">
        <f t="shared" si="44"/>
        <v>D</v>
      </c>
      <c r="H534">
        <f>_xlfn.XLOOKUP(Table2[[#This Row],[Zone]],Table1[Row],Table1[Max Bay],_xleta.NA,0)</f>
        <v>14</v>
      </c>
      <c r="I534" s="1" t="str">
        <f t="shared" si="40"/>
        <v>05</v>
      </c>
      <c r="J534">
        <f t="shared" si="41"/>
        <v>2</v>
      </c>
      <c r="K534" t="str">
        <f>_xlfn.XLOOKUP(Table2[[#This Row],[Row]],Table1[Row],Table1[StartSide],0)</f>
        <v>L</v>
      </c>
      <c r="L534" t="str">
        <f t="shared" si="42"/>
        <v>L</v>
      </c>
      <c r="M534" t="str">
        <f t="shared" si="43"/>
        <v>PS2_D05_2_L</v>
      </c>
    </row>
    <row r="535" spans="1:13" x14ac:dyDescent="0.25">
      <c r="A535" t="s">
        <v>542</v>
      </c>
      <c r="B535" t="s">
        <v>766</v>
      </c>
      <c r="C535" t="s">
        <v>761</v>
      </c>
      <c r="D535">
        <v>2</v>
      </c>
      <c r="E535" t="s">
        <v>752</v>
      </c>
      <c r="F535" t="s">
        <v>780</v>
      </c>
      <c r="G535" t="str">
        <f t="shared" si="44"/>
        <v>D</v>
      </c>
      <c r="H535">
        <f>_xlfn.XLOOKUP(Table2[[#This Row],[Zone]],Table1[Row],Table1[Max Bay],_xleta.NA,0)</f>
        <v>14</v>
      </c>
      <c r="I535" s="1" t="str">
        <f t="shared" si="40"/>
        <v>05</v>
      </c>
      <c r="J535">
        <f t="shared" si="41"/>
        <v>2</v>
      </c>
      <c r="K535" t="str">
        <f>_xlfn.XLOOKUP(Table2[[#This Row],[Row]],Table1[Row],Table1[StartSide],0)</f>
        <v>L</v>
      </c>
      <c r="L535" t="str">
        <f t="shared" si="42"/>
        <v>R</v>
      </c>
      <c r="M535" t="str">
        <f t="shared" si="43"/>
        <v>PS2_D05_2_R</v>
      </c>
    </row>
    <row r="536" spans="1:13" x14ac:dyDescent="0.25">
      <c r="A536" t="s">
        <v>543</v>
      </c>
      <c r="B536" t="s">
        <v>766</v>
      </c>
      <c r="C536" t="s">
        <v>761</v>
      </c>
      <c r="D536">
        <v>3</v>
      </c>
      <c r="E536" t="s">
        <v>751</v>
      </c>
      <c r="F536" t="s">
        <v>780</v>
      </c>
      <c r="G536" t="str">
        <f t="shared" si="44"/>
        <v>D</v>
      </c>
      <c r="H536">
        <f>_xlfn.XLOOKUP(Table2[[#This Row],[Zone]],Table1[Row],Table1[Max Bay],_xleta.NA,0)</f>
        <v>14</v>
      </c>
      <c r="I536" s="1" t="str">
        <f t="shared" si="40"/>
        <v>05</v>
      </c>
      <c r="J536">
        <f t="shared" si="41"/>
        <v>3</v>
      </c>
      <c r="K536" t="str">
        <f>_xlfn.XLOOKUP(Table2[[#This Row],[Row]],Table1[Row],Table1[StartSide],0)</f>
        <v>L</v>
      </c>
      <c r="L536" t="str">
        <f t="shared" si="42"/>
        <v>L</v>
      </c>
      <c r="M536" t="str">
        <f t="shared" si="43"/>
        <v>PS2_D05_3_L</v>
      </c>
    </row>
    <row r="537" spans="1:13" x14ac:dyDescent="0.25">
      <c r="A537" t="s">
        <v>544</v>
      </c>
      <c r="B537" t="s">
        <v>766</v>
      </c>
      <c r="C537" t="s">
        <v>761</v>
      </c>
      <c r="D537">
        <v>3</v>
      </c>
      <c r="E537" t="s">
        <v>752</v>
      </c>
      <c r="F537" t="s">
        <v>780</v>
      </c>
      <c r="G537" t="str">
        <f t="shared" si="44"/>
        <v>D</v>
      </c>
      <c r="H537">
        <f>_xlfn.XLOOKUP(Table2[[#This Row],[Zone]],Table1[Row],Table1[Max Bay],_xleta.NA,0)</f>
        <v>14</v>
      </c>
      <c r="I537" s="1" t="str">
        <f t="shared" si="40"/>
        <v>05</v>
      </c>
      <c r="J537">
        <f t="shared" si="41"/>
        <v>3</v>
      </c>
      <c r="K537" t="str">
        <f>_xlfn.XLOOKUP(Table2[[#This Row],[Row]],Table1[Row],Table1[StartSide],0)</f>
        <v>L</v>
      </c>
      <c r="L537" t="str">
        <f t="shared" si="42"/>
        <v>R</v>
      </c>
      <c r="M537" t="str">
        <f t="shared" si="43"/>
        <v>PS2_D05_3_R</v>
      </c>
    </row>
    <row r="538" spans="1:13" x14ac:dyDescent="0.25">
      <c r="A538" t="s">
        <v>545</v>
      </c>
      <c r="B538" t="s">
        <v>766</v>
      </c>
      <c r="C538" t="s">
        <v>761</v>
      </c>
      <c r="D538">
        <v>4</v>
      </c>
      <c r="E538" t="s">
        <v>751</v>
      </c>
      <c r="F538" t="s">
        <v>780</v>
      </c>
      <c r="G538" t="str">
        <f t="shared" si="44"/>
        <v>D</v>
      </c>
      <c r="H538">
        <f>_xlfn.XLOOKUP(Table2[[#This Row],[Zone]],Table1[Row],Table1[Max Bay],_xleta.NA,0)</f>
        <v>14</v>
      </c>
      <c r="I538" s="1" t="str">
        <f t="shared" si="40"/>
        <v>05</v>
      </c>
      <c r="J538">
        <f t="shared" si="41"/>
        <v>4</v>
      </c>
      <c r="K538" t="str">
        <f>_xlfn.XLOOKUP(Table2[[#This Row],[Row]],Table1[Row],Table1[StartSide],0)</f>
        <v>L</v>
      </c>
      <c r="L538" t="str">
        <f t="shared" si="42"/>
        <v>L</v>
      </c>
      <c r="M538" t="str">
        <f t="shared" si="43"/>
        <v>PS2_D05_4_L</v>
      </c>
    </row>
    <row r="539" spans="1:13" x14ac:dyDescent="0.25">
      <c r="A539" t="s">
        <v>546</v>
      </c>
      <c r="B539" t="s">
        <v>766</v>
      </c>
      <c r="C539" t="s">
        <v>761</v>
      </c>
      <c r="D539">
        <v>4</v>
      </c>
      <c r="E539" t="s">
        <v>752</v>
      </c>
      <c r="F539" t="s">
        <v>780</v>
      </c>
      <c r="G539" t="str">
        <f t="shared" si="44"/>
        <v>D</v>
      </c>
      <c r="H539">
        <f>_xlfn.XLOOKUP(Table2[[#This Row],[Zone]],Table1[Row],Table1[Max Bay],_xleta.NA,0)</f>
        <v>14</v>
      </c>
      <c r="I539" s="1" t="str">
        <f t="shared" si="40"/>
        <v>05</v>
      </c>
      <c r="J539">
        <f t="shared" si="41"/>
        <v>4</v>
      </c>
      <c r="K539" t="str">
        <f>_xlfn.XLOOKUP(Table2[[#This Row],[Row]],Table1[Row],Table1[StartSide],0)</f>
        <v>L</v>
      </c>
      <c r="L539" t="str">
        <f t="shared" si="42"/>
        <v>R</v>
      </c>
      <c r="M539" t="str">
        <f t="shared" si="43"/>
        <v>PS2_D05_4_R</v>
      </c>
    </row>
    <row r="540" spans="1:13" x14ac:dyDescent="0.25">
      <c r="A540" t="s">
        <v>547</v>
      </c>
      <c r="B540" t="s">
        <v>766</v>
      </c>
      <c r="C540" t="s">
        <v>761</v>
      </c>
      <c r="D540">
        <v>5</v>
      </c>
      <c r="E540" t="s">
        <v>751</v>
      </c>
      <c r="F540" t="s">
        <v>780</v>
      </c>
      <c r="G540" t="str">
        <f t="shared" si="44"/>
        <v>D</v>
      </c>
      <c r="H540">
        <f>_xlfn.XLOOKUP(Table2[[#This Row],[Zone]],Table1[Row],Table1[Max Bay],_xleta.NA,0)</f>
        <v>14</v>
      </c>
      <c r="I540" s="1" t="str">
        <f t="shared" si="40"/>
        <v>05</v>
      </c>
      <c r="J540">
        <f t="shared" si="41"/>
        <v>5</v>
      </c>
      <c r="K540" t="str">
        <f>_xlfn.XLOOKUP(Table2[[#This Row],[Row]],Table1[Row],Table1[StartSide],0)</f>
        <v>L</v>
      </c>
      <c r="L540" t="str">
        <f t="shared" si="42"/>
        <v>L</v>
      </c>
      <c r="M540" t="str">
        <f t="shared" si="43"/>
        <v>PS2_D05_5_L</v>
      </c>
    </row>
    <row r="541" spans="1:13" x14ac:dyDescent="0.25">
      <c r="A541" t="s">
        <v>548</v>
      </c>
      <c r="B541" t="s">
        <v>766</v>
      </c>
      <c r="C541" t="s">
        <v>761</v>
      </c>
      <c r="D541">
        <v>5</v>
      </c>
      <c r="E541" t="s">
        <v>752</v>
      </c>
      <c r="F541" t="s">
        <v>780</v>
      </c>
      <c r="G541" t="str">
        <f t="shared" si="44"/>
        <v>D</v>
      </c>
      <c r="H541">
        <f>_xlfn.XLOOKUP(Table2[[#This Row],[Zone]],Table1[Row],Table1[Max Bay],_xleta.NA,0)</f>
        <v>14</v>
      </c>
      <c r="I541" s="1" t="str">
        <f t="shared" si="40"/>
        <v>05</v>
      </c>
      <c r="J541">
        <f t="shared" si="41"/>
        <v>5</v>
      </c>
      <c r="K541" t="str">
        <f>_xlfn.XLOOKUP(Table2[[#This Row],[Row]],Table1[Row],Table1[StartSide],0)</f>
        <v>L</v>
      </c>
      <c r="L541" t="str">
        <f t="shared" si="42"/>
        <v>R</v>
      </c>
      <c r="M541" t="str">
        <f t="shared" si="43"/>
        <v>PS2_D05_5_R</v>
      </c>
    </row>
    <row r="542" spans="1:13" x14ac:dyDescent="0.25">
      <c r="A542" t="s">
        <v>549</v>
      </c>
      <c r="B542" t="s">
        <v>766</v>
      </c>
      <c r="C542" t="s">
        <v>761</v>
      </c>
      <c r="D542">
        <v>6</v>
      </c>
      <c r="E542" t="s">
        <v>751</v>
      </c>
      <c r="F542" t="s">
        <v>780</v>
      </c>
      <c r="G542" t="str">
        <f t="shared" si="44"/>
        <v>D</v>
      </c>
      <c r="H542">
        <f>_xlfn.XLOOKUP(Table2[[#This Row],[Zone]],Table1[Row],Table1[Max Bay],_xleta.NA,0)</f>
        <v>14</v>
      </c>
      <c r="I542" s="1" t="str">
        <f t="shared" si="40"/>
        <v>05</v>
      </c>
      <c r="J542">
        <f t="shared" si="41"/>
        <v>6</v>
      </c>
      <c r="K542" t="str">
        <f>_xlfn.XLOOKUP(Table2[[#This Row],[Row]],Table1[Row],Table1[StartSide],0)</f>
        <v>L</v>
      </c>
      <c r="L542" t="str">
        <f t="shared" si="42"/>
        <v>L</v>
      </c>
      <c r="M542" t="str">
        <f t="shared" si="43"/>
        <v>PS2_D05_6_L</v>
      </c>
    </row>
    <row r="543" spans="1:13" x14ac:dyDescent="0.25">
      <c r="A543" t="s">
        <v>550</v>
      </c>
      <c r="B543" t="s">
        <v>766</v>
      </c>
      <c r="C543" t="s">
        <v>761</v>
      </c>
      <c r="D543">
        <v>6</v>
      </c>
      <c r="E543" t="s">
        <v>752</v>
      </c>
      <c r="F543" t="s">
        <v>780</v>
      </c>
      <c r="G543" t="str">
        <f t="shared" si="44"/>
        <v>D</v>
      </c>
      <c r="H543">
        <f>_xlfn.XLOOKUP(Table2[[#This Row],[Zone]],Table1[Row],Table1[Max Bay],_xleta.NA,0)</f>
        <v>14</v>
      </c>
      <c r="I543" s="1" t="str">
        <f t="shared" si="40"/>
        <v>05</v>
      </c>
      <c r="J543">
        <f t="shared" si="41"/>
        <v>6</v>
      </c>
      <c r="K543" t="str">
        <f>_xlfn.XLOOKUP(Table2[[#This Row],[Row]],Table1[Row],Table1[StartSide],0)</f>
        <v>L</v>
      </c>
      <c r="L543" t="str">
        <f t="shared" si="42"/>
        <v>R</v>
      </c>
      <c r="M543" t="str">
        <f t="shared" si="43"/>
        <v>PS2_D05_6_R</v>
      </c>
    </row>
    <row r="544" spans="1:13" x14ac:dyDescent="0.25">
      <c r="A544" t="s">
        <v>551</v>
      </c>
      <c r="B544" t="s">
        <v>766</v>
      </c>
      <c r="C544" t="s">
        <v>762</v>
      </c>
      <c r="D544">
        <v>1</v>
      </c>
      <c r="E544" t="s">
        <v>751</v>
      </c>
      <c r="F544" t="s">
        <v>780</v>
      </c>
      <c r="G544" t="str">
        <f t="shared" si="44"/>
        <v>D</v>
      </c>
      <c r="H544">
        <f>_xlfn.XLOOKUP(Table2[[#This Row],[Zone]],Table1[Row],Table1[Max Bay],_xleta.NA,0)</f>
        <v>14</v>
      </c>
      <c r="I544" s="1" t="str">
        <f t="shared" si="40"/>
        <v>04</v>
      </c>
      <c r="J544">
        <f t="shared" si="41"/>
        <v>1</v>
      </c>
      <c r="K544" t="str">
        <f>_xlfn.XLOOKUP(Table2[[#This Row],[Row]],Table1[Row],Table1[StartSide],0)</f>
        <v>L</v>
      </c>
      <c r="L544" t="str">
        <f t="shared" si="42"/>
        <v>L</v>
      </c>
      <c r="M544" t="str">
        <f t="shared" si="43"/>
        <v>PS2_D04_1_L</v>
      </c>
    </row>
    <row r="545" spans="1:13" x14ac:dyDescent="0.25">
      <c r="A545" t="s">
        <v>552</v>
      </c>
      <c r="B545" t="s">
        <v>766</v>
      </c>
      <c r="C545" t="s">
        <v>762</v>
      </c>
      <c r="D545">
        <v>1</v>
      </c>
      <c r="E545" t="s">
        <v>752</v>
      </c>
      <c r="F545" t="s">
        <v>780</v>
      </c>
      <c r="G545" t="str">
        <f t="shared" si="44"/>
        <v>D</v>
      </c>
      <c r="H545">
        <f>_xlfn.XLOOKUP(Table2[[#This Row],[Zone]],Table1[Row],Table1[Max Bay],_xleta.NA,0)</f>
        <v>14</v>
      </c>
      <c r="I545" s="1" t="str">
        <f t="shared" si="40"/>
        <v>04</v>
      </c>
      <c r="J545">
        <f t="shared" si="41"/>
        <v>1</v>
      </c>
      <c r="K545" t="str">
        <f>_xlfn.XLOOKUP(Table2[[#This Row],[Row]],Table1[Row],Table1[StartSide],0)</f>
        <v>L</v>
      </c>
      <c r="L545" t="str">
        <f t="shared" si="42"/>
        <v>R</v>
      </c>
      <c r="M545" t="str">
        <f t="shared" si="43"/>
        <v>PS2_D04_1_R</v>
      </c>
    </row>
    <row r="546" spans="1:13" x14ac:dyDescent="0.25">
      <c r="A546" t="s">
        <v>553</v>
      </c>
      <c r="B546" t="s">
        <v>766</v>
      </c>
      <c r="C546" t="s">
        <v>762</v>
      </c>
      <c r="D546">
        <v>2</v>
      </c>
      <c r="E546" t="s">
        <v>751</v>
      </c>
      <c r="F546" t="s">
        <v>780</v>
      </c>
      <c r="G546" t="str">
        <f t="shared" si="44"/>
        <v>D</v>
      </c>
      <c r="H546">
        <f>_xlfn.XLOOKUP(Table2[[#This Row],[Zone]],Table1[Row],Table1[Max Bay],_xleta.NA,0)</f>
        <v>14</v>
      </c>
      <c r="I546" s="1" t="str">
        <f t="shared" si="40"/>
        <v>04</v>
      </c>
      <c r="J546">
        <f t="shared" si="41"/>
        <v>2</v>
      </c>
      <c r="K546" t="str">
        <f>_xlfn.XLOOKUP(Table2[[#This Row],[Row]],Table1[Row],Table1[StartSide],0)</f>
        <v>L</v>
      </c>
      <c r="L546" t="str">
        <f t="shared" si="42"/>
        <v>L</v>
      </c>
      <c r="M546" t="str">
        <f t="shared" si="43"/>
        <v>PS2_D04_2_L</v>
      </c>
    </row>
    <row r="547" spans="1:13" x14ac:dyDescent="0.25">
      <c r="A547" t="s">
        <v>554</v>
      </c>
      <c r="B547" t="s">
        <v>766</v>
      </c>
      <c r="C547" t="s">
        <v>762</v>
      </c>
      <c r="D547">
        <v>2</v>
      </c>
      <c r="E547" t="s">
        <v>752</v>
      </c>
      <c r="F547" t="s">
        <v>780</v>
      </c>
      <c r="G547" t="str">
        <f t="shared" si="44"/>
        <v>D</v>
      </c>
      <c r="H547">
        <f>_xlfn.XLOOKUP(Table2[[#This Row],[Zone]],Table1[Row],Table1[Max Bay],_xleta.NA,0)</f>
        <v>14</v>
      </c>
      <c r="I547" s="1" t="str">
        <f t="shared" si="40"/>
        <v>04</v>
      </c>
      <c r="J547">
        <f t="shared" si="41"/>
        <v>2</v>
      </c>
      <c r="K547" t="str">
        <f>_xlfn.XLOOKUP(Table2[[#This Row],[Row]],Table1[Row],Table1[StartSide],0)</f>
        <v>L</v>
      </c>
      <c r="L547" t="str">
        <f t="shared" si="42"/>
        <v>R</v>
      </c>
      <c r="M547" t="str">
        <f t="shared" si="43"/>
        <v>PS2_D04_2_R</v>
      </c>
    </row>
    <row r="548" spans="1:13" x14ac:dyDescent="0.25">
      <c r="A548" t="s">
        <v>555</v>
      </c>
      <c r="B548" t="s">
        <v>766</v>
      </c>
      <c r="C548" t="s">
        <v>762</v>
      </c>
      <c r="D548">
        <v>3</v>
      </c>
      <c r="E548" t="s">
        <v>751</v>
      </c>
      <c r="F548" t="s">
        <v>780</v>
      </c>
      <c r="G548" t="str">
        <f t="shared" si="44"/>
        <v>D</v>
      </c>
      <c r="H548">
        <f>_xlfn.XLOOKUP(Table2[[#This Row],[Zone]],Table1[Row],Table1[Max Bay],_xleta.NA,0)</f>
        <v>14</v>
      </c>
      <c r="I548" s="1" t="str">
        <f t="shared" si="40"/>
        <v>04</v>
      </c>
      <c r="J548">
        <f t="shared" si="41"/>
        <v>3</v>
      </c>
      <c r="K548" t="str">
        <f>_xlfn.XLOOKUP(Table2[[#This Row],[Row]],Table1[Row],Table1[StartSide],0)</f>
        <v>L</v>
      </c>
      <c r="L548" t="str">
        <f t="shared" si="42"/>
        <v>L</v>
      </c>
      <c r="M548" t="str">
        <f t="shared" si="43"/>
        <v>PS2_D04_3_L</v>
      </c>
    </row>
    <row r="549" spans="1:13" x14ac:dyDescent="0.25">
      <c r="A549" t="s">
        <v>556</v>
      </c>
      <c r="B549" t="s">
        <v>766</v>
      </c>
      <c r="C549" t="s">
        <v>762</v>
      </c>
      <c r="D549">
        <v>3</v>
      </c>
      <c r="E549" t="s">
        <v>752</v>
      </c>
      <c r="F549" t="s">
        <v>780</v>
      </c>
      <c r="G549" t="str">
        <f t="shared" si="44"/>
        <v>D</v>
      </c>
      <c r="H549">
        <f>_xlfn.XLOOKUP(Table2[[#This Row],[Zone]],Table1[Row],Table1[Max Bay],_xleta.NA,0)</f>
        <v>14</v>
      </c>
      <c r="I549" s="1" t="str">
        <f t="shared" si="40"/>
        <v>04</v>
      </c>
      <c r="J549">
        <f t="shared" si="41"/>
        <v>3</v>
      </c>
      <c r="K549" t="str">
        <f>_xlfn.XLOOKUP(Table2[[#This Row],[Row]],Table1[Row],Table1[StartSide],0)</f>
        <v>L</v>
      </c>
      <c r="L549" t="str">
        <f t="shared" si="42"/>
        <v>R</v>
      </c>
      <c r="M549" t="str">
        <f t="shared" si="43"/>
        <v>PS2_D04_3_R</v>
      </c>
    </row>
    <row r="550" spans="1:13" x14ac:dyDescent="0.25">
      <c r="A550" t="s">
        <v>557</v>
      </c>
      <c r="B550" t="s">
        <v>766</v>
      </c>
      <c r="C550" t="s">
        <v>762</v>
      </c>
      <c r="D550">
        <v>4</v>
      </c>
      <c r="E550" t="s">
        <v>751</v>
      </c>
      <c r="F550" t="s">
        <v>780</v>
      </c>
      <c r="G550" t="str">
        <f t="shared" si="44"/>
        <v>D</v>
      </c>
      <c r="H550">
        <f>_xlfn.XLOOKUP(Table2[[#This Row],[Zone]],Table1[Row],Table1[Max Bay],_xleta.NA,0)</f>
        <v>14</v>
      </c>
      <c r="I550" s="1" t="str">
        <f t="shared" si="40"/>
        <v>04</v>
      </c>
      <c r="J550">
        <f t="shared" si="41"/>
        <v>4</v>
      </c>
      <c r="K550" t="str">
        <f>_xlfn.XLOOKUP(Table2[[#This Row],[Row]],Table1[Row],Table1[StartSide],0)</f>
        <v>L</v>
      </c>
      <c r="L550" t="str">
        <f t="shared" si="42"/>
        <v>L</v>
      </c>
      <c r="M550" t="str">
        <f t="shared" si="43"/>
        <v>PS2_D04_4_L</v>
      </c>
    </row>
    <row r="551" spans="1:13" x14ac:dyDescent="0.25">
      <c r="A551" t="s">
        <v>558</v>
      </c>
      <c r="B551" t="s">
        <v>766</v>
      </c>
      <c r="C551" t="s">
        <v>762</v>
      </c>
      <c r="D551">
        <v>4</v>
      </c>
      <c r="E551" t="s">
        <v>752</v>
      </c>
      <c r="F551" t="s">
        <v>780</v>
      </c>
      <c r="G551" t="str">
        <f t="shared" si="44"/>
        <v>D</v>
      </c>
      <c r="H551">
        <f>_xlfn.XLOOKUP(Table2[[#This Row],[Zone]],Table1[Row],Table1[Max Bay],_xleta.NA,0)</f>
        <v>14</v>
      </c>
      <c r="I551" s="1" t="str">
        <f t="shared" si="40"/>
        <v>04</v>
      </c>
      <c r="J551">
        <f t="shared" si="41"/>
        <v>4</v>
      </c>
      <c r="K551" t="str">
        <f>_xlfn.XLOOKUP(Table2[[#This Row],[Row]],Table1[Row],Table1[StartSide],0)</f>
        <v>L</v>
      </c>
      <c r="L551" t="str">
        <f t="shared" si="42"/>
        <v>R</v>
      </c>
      <c r="M551" t="str">
        <f t="shared" si="43"/>
        <v>PS2_D04_4_R</v>
      </c>
    </row>
    <row r="552" spans="1:13" x14ac:dyDescent="0.25">
      <c r="A552" t="s">
        <v>559</v>
      </c>
      <c r="B552" t="s">
        <v>766</v>
      </c>
      <c r="C552" t="s">
        <v>762</v>
      </c>
      <c r="D552">
        <v>5</v>
      </c>
      <c r="E552" t="s">
        <v>751</v>
      </c>
      <c r="F552" t="s">
        <v>780</v>
      </c>
      <c r="G552" t="str">
        <f t="shared" si="44"/>
        <v>D</v>
      </c>
      <c r="H552">
        <f>_xlfn.XLOOKUP(Table2[[#This Row],[Zone]],Table1[Row],Table1[Max Bay],_xleta.NA,0)</f>
        <v>14</v>
      </c>
      <c r="I552" s="1" t="str">
        <f t="shared" si="40"/>
        <v>04</v>
      </c>
      <c r="J552">
        <f t="shared" si="41"/>
        <v>5</v>
      </c>
      <c r="K552" t="str">
        <f>_xlfn.XLOOKUP(Table2[[#This Row],[Row]],Table1[Row],Table1[StartSide],0)</f>
        <v>L</v>
      </c>
      <c r="L552" t="str">
        <f t="shared" si="42"/>
        <v>L</v>
      </c>
      <c r="M552" t="str">
        <f t="shared" si="43"/>
        <v>PS2_D04_5_L</v>
      </c>
    </row>
    <row r="553" spans="1:13" x14ac:dyDescent="0.25">
      <c r="A553" t="s">
        <v>560</v>
      </c>
      <c r="B553" t="s">
        <v>766</v>
      </c>
      <c r="C553" t="s">
        <v>762</v>
      </c>
      <c r="D553">
        <v>5</v>
      </c>
      <c r="E553" t="s">
        <v>752</v>
      </c>
      <c r="F553" t="s">
        <v>780</v>
      </c>
      <c r="G553" t="str">
        <f t="shared" si="44"/>
        <v>D</v>
      </c>
      <c r="H553">
        <f>_xlfn.XLOOKUP(Table2[[#This Row],[Zone]],Table1[Row],Table1[Max Bay],_xleta.NA,0)</f>
        <v>14</v>
      </c>
      <c r="I553" s="1" t="str">
        <f t="shared" si="40"/>
        <v>04</v>
      </c>
      <c r="J553">
        <f t="shared" si="41"/>
        <v>5</v>
      </c>
      <c r="K553" t="str">
        <f>_xlfn.XLOOKUP(Table2[[#This Row],[Row]],Table1[Row],Table1[StartSide],0)</f>
        <v>L</v>
      </c>
      <c r="L553" t="str">
        <f t="shared" si="42"/>
        <v>R</v>
      </c>
      <c r="M553" t="str">
        <f t="shared" si="43"/>
        <v>PS2_D04_5_R</v>
      </c>
    </row>
    <row r="554" spans="1:13" x14ac:dyDescent="0.25">
      <c r="A554" t="s">
        <v>561</v>
      </c>
      <c r="B554" t="s">
        <v>766</v>
      </c>
      <c r="C554" t="s">
        <v>762</v>
      </c>
      <c r="D554">
        <v>6</v>
      </c>
      <c r="E554" t="s">
        <v>752</v>
      </c>
      <c r="F554" t="s">
        <v>780</v>
      </c>
      <c r="G554" t="str">
        <f t="shared" si="44"/>
        <v>D</v>
      </c>
      <c r="H554">
        <f>_xlfn.XLOOKUP(Table2[[#This Row],[Zone]],Table1[Row],Table1[Max Bay],_xleta.NA,0)</f>
        <v>14</v>
      </c>
      <c r="I554" s="1" t="str">
        <f t="shared" si="40"/>
        <v>04</v>
      </c>
      <c r="J554">
        <f t="shared" si="41"/>
        <v>6</v>
      </c>
      <c r="K554" t="str">
        <f>_xlfn.XLOOKUP(Table2[[#This Row],[Row]],Table1[Row],Table1[StartSide],0)</f>
        <v>L</v>
      </c>
      <c r="L554" t="str">
        <f t="shared" si="42"/>
        <v>R</v>
      </c>
      <c r="M554" t="str">
        <f t="shared" si="43"/>
        <v>PS2_D04_6_R</v>
      </c>
    </row>
    <row r="555" spans="1:13" x14ac:dyDescent="0.25">
      <c r="A555" t="s">
        <v>562</v>
      </c>
      <c r="B555" t="s">
        <v>766</v>
      </c>
      <c r="C555" t="s">
        <v>763</v>
      </c>
      <c r="D555">
        <v>1</v>
      </c>
      <c r="E555" t="s">
        <v>751</v>
      </c>
      <c r="F555" t="s">
        <v>780</v>
      </c>
      <c r="G555" t="str">
        <f t="shared" si="44"/>
        <v>D</v>
      </c>
      <c r="H555">
        <f>_xlfn.XLOOKUP(Table2[[#This Row],[Zone]],Table1[Row],Table1[Max Bay],_xleta.NA,0)</f>
        <v>14</v>
      </c>
      <c r="I555" s="1" t="str">
        <f t="shared" si="40"/>
        <v>03</v>
      </c>
      <c r="J555">
        <f t="shared" si="41"/>
        <v>1</v>
      </c>
      <c r="K555" t="str">
        <f>_xlfn.XLOOKUP(Table2[[#This Row],[Row]],Table1[Row],Table1[StartSide],0)</f>
        <v>L</v>
      </c>
      <c r="L555" t="str">
        <f t="shared" si="42"/>
        <v>L</v>
      </c>
      <c r="M555" t="str">
        <f t="shared" si="43"/>
        <v>PS2_D03_1_L</v>
      </c>
    </row>
    <row r="556" spans="1:13" x14ac:dyDescent="0.25">
      <c r="A556" t="s">
        <v>563</v>
      </c>
      <c r="B556" t="s">
        <v>766</v>
      </c>
      <c r="C556" t="s">
        <v>763</v>
      </c>
      <c r="D556">
        <v>1</v>
      </c>
      <c r="E556" t="s">
        <v>752</v>
      </c>
      <c r="F556" t="s">
        <v>780</v>
      </c>
      <c r="G556" t="str">
        <f t="shared" si="44"/>
        <v>D</v>
      </c>
      <c r="H556">
        <f>_xlfn.XLOOKUP(Table2[[#This Row],[Zone]],Table1[Row],Table1[Max Bay],_xleta.NA,0)</f>
        <v>14</v>
      </c>
      <c r="I556" s="1" t="str">
        <f t="shared" si="40"/>
        <v>03</v>
      </c>
      <c r="J556">
        <f t="shared" si="41"/>
        <v>1</v>
      </c>
      <c r="K556" t="str">
        <f>_xlfn.XLOOKUP(Table2[[#This Row],[Row]],Table1[Row],Table1[StartSide],0)</f>
        <v>L</v>
      </c>
      <c r="L556" t="str">
        <f t="shared" si="42"/>
        <v>R</v>
      </c>
      <c r="M556" t="str">
        <f t="shared" si="43"/>
        <v>PS2_D03_1_R</v>
      </c>
    </row>
    <row r="557" spans="1:13" x14ac:dyDescent="0.25">
      <c r="A557" t="s">
        <v>564</v>
      </c>
      <c r="B557" t="s">
        <v>766</v>
      </c>
      <c r="C557" t="s">
        <v>763</v>
      </c>
      <c r="D557">
        <v>2</v>
      </c>
      <c r="E557" t="s">
        <v>751</v>
      </c>
      <c r="F557" t="s">
        <v>780</v>
      </c>
      <c r="G557" t="str">
        <f t="shared" si="44"/>
        <v>D</v>
      </c>
      <c r="H557">
        <f>_xlfn.XLOOKUP(Table2[[#This Row],[Zone]],Table1[Row],Table1[Max Bay],_xleta.NA,0)</f>
        <v>14</v>
      </c>
      <c r="I557" s="1" t="str">
        <f t="shared" si="40"/>
        <v>03</v>
      </c>
      <c r="J557">
        <f t="shared" si="41"/>
        <v>2</v>
      </c>
      <c r="K557" t="str">
        <f>_xlfn.XLOOKUP(Table2[[#This Row],[Row]],Table1[Row],Table1[StartSide],0)</f>
        <v>L</v>
      </c>
      <c r="L557" t="str">
        <f t="shared" si="42"/>
        <v>L</v>
      </c>
      <c r="M557" t="str">
        <f t="shared" si="43"/>
        <v>PS2_D03_2_L</v>
      </c>
    </row>
    <row r="558" spans="1:13" x14ac:dyDescent="0.25">
      <c r="A558" t="s">
        <v>565</v>
      </c>
      <c r="B558" t="s">
        <v>766</v>
      </c>
      <c r="C558" t="s">
        <v>763</v>
      </c>
      <c r="D558">
        <v>2</v>
      </c>
      <c r="E558" t="s">
        <v>752</v>
      </c>
      <c r="F558" t="s">
        <v>780</v>
      </c>
      <c r="G558" t="str">
        <f t="shared" si="44"/>
        <v>D</v>
      </c>
      <c r="H558">
        <f>_xlfn.XLOOKUP(Table2[[#This Row],[Zone]],Table1[Row],Table1[Max Bay],_xleta.NA,0)</f>
        <v>14</v>
      </c>
      <c r="I558" s="1" t="str">
        <f t="shared" si="40"/>
        <v>03</v>
      </c>
      <c r="J558">
        <f t="shared" si="41"/>
        <v>2</v>
      </c>
      <c r="K558" t="str">
        <f>_xlfn.XLOOKUP(Table2[[#This Row],[Row]],Table1[Row],Table1[StartSide],0)</f>
        <v>L</v>
      </c>
      <c r="L558" t="str">
        <f t="shared" si="42"/>
        <v>R</v>
      </c>
      <c r="M558" t="str">
        <f t="shared" si="43"/>
        <v>PS2_D03_2_R</v>
      </c>
    </row>
    <row r="559" spans="1:13" x14ac:dyDescent="0.25">
      <c r="A559" t="s">
        <v>566</v>
      </c>
      <c r="B559" t="s">
        <v>766</v>
      </c>
      <c r="C559" t="s">
        <v>763</v>
      </c>
      <c r="D559">
        <v>3</v>
      </c>
      <c r="E559" t="s">
        <v>751</v>
      </c>
      <c r="F559" t="s">
        <v>780</v>
      </c>
      <c r="G559" t="str">
        <f t="shared" si="44"/>
        <v>D</v>
      </c>
      <c r="H559">
        <f>_xlfn.XLOOKUP(Table2[[#This Row],[Zone]],Table1[Row],Table1[Max Bay],_xleta.NA,0)</f>
        <v>14</v>
      </c>
      <c r="I559" s="1" t="str">
        <f t="shared" si="40"/>
        <v>03</v>
      </c>
      <c r="J559">
        <f t="shared" si="41"/>
        <v>3</v>
      </c>
      <c r="K559" t="str">
        <f>_xlfn.XLOOKUP(Table2[[#This Row],[Row]],Table1[Row],Table1[StartSide],0)</f>
        <v>L</v>
      </c>
      <c r="L559" t="str">
        <f t="shared" si="42"/>
        <v>L</v>
      </c>
      <c r="M559" t="str">
        <f t="shared" si="43"/>
        <v>PS2_D03_3_L</v>
      </c>
    </row>
    <row r="560" spans="1:13" x14ac:dyDescent="0.25">
      <c r="A560" t="s">
        <v>567</v>
      </c>
      <c r="B560" t="s">
        <v>766</v>
      </c>
      <c r="C560" t="s">
        <v>763</v>
      </c>
      <c r="D560">
        <v>3</v>
      </c>
      <c r="E560" t="s">
        <v>752</v>
      </c>
      <c r="F560" t="s">
        <v>780</v>
      </c>
      <c r="G560" t="str">
        <f t="shared" si="44"/>
        <v>D</v>
      </c>
      <c r="H560">
        <f>_xlfn.XLOOKUP(Table2[[#This Row],[Zone]],Table1[Row],Table1[Max Bay],_xleta.NA,0)</f>
        <v>14</v>
      </c>
      <c r="I560" s="1" t="str">
        <f t="shared" si="40"/>
        <v>03</v>
      </c>
      <c r="J560">
        <f t="shared" si="41"/>
        <v>3</v>
      </c>
      <c r="K560" t="str">
        <f>_xlfn.XLOOKUP(Table2[[#This Row],[Row]],Table1[Row],Table1[StartSide],0)</f>
        <v>L</v>
      </c>
      <c r="L560" t="str">
        <f t="shared" si="42"/>
        <v>R</v>
      </c>
      <c r="M560" t="str">
        <f t="shared" si="43"/>
        <v>PS2_D03_3_R</v>
      </c>
    </row>
    <row r="561" spans="1:13" x14ac:dyDescent="0.25">
      <c r="A561" t="s">
        <v>568</v>
      </c>
      <c r="B561" t="s">
        <v>766</v>
      </c>
      <c r="C561" t="s">
        <v>763</v>
      </c>
      <c r="D561">
        <v>4</v>
      </c>
      <c r="E561" t="s">
        <v>751</v>
      </c>
      <c r="F561" t="s">
        <v>780</v>
      </c>
      <c r="G561" t="str">
        <f t="shared" si="44"/>
        <v>D</v>
      </c>
      <c r="H561">
        <f>_xlfn.XLOOKUP(Table2[[#This Row],[Zone]],Table1[Row],Table1[Max Bay],_xleta.NA,0)</f>
        <v>14</v>
      </c>
      <c r="I561" s="1" t="str">
        <f t="shared" si="40"/>
        <v>03</v>
      </c>
      <c r="J561">
        <f t="shared" si="41"/>
        <v>4</v>
      </c>
      <c r="K561" t="str">
        <f>_xlfn.XLOOKUP(Table2[[#This Row],[Row]],Table1[Row],Table1[StartSide],0)</f>
        <v>L</v>
      </c>
      <c r="L561" t="str">
        <f t="shared" si="42"/>
        <v>L</v>
      </c>
      <c r="M561" t="str">
        <f t="shared" si="43"/>
        <v>PS2_D03_4_L</v>
      </c>
    </row>
    <row r="562" spans="1:13" x14ac:dyDescent="0.25">
      <c r="A562" t="s">
        <v>569</v>
      </c>
      <c r="B562" t="s">
        <v>766</v>
      </c>
      <c r="C562" t="s">
        <v>763</v>
      </c>
      <c r="D562">
        <v>4</v>
      </c>
      <c r="E562" t="s">
        <v>752</v>
      </c>
      <c r="F562" t="s">
        <v>780</v>
      </c>
      <c r="G562" t="str">
        <f t="shared" si="44"/>
        <v>D</v>
      </c>
      <c r="H562">
        <f>_xlfn.XLOOKUP(Table2[[#This Row],[Zone]],Table1[Row],Table1[Max Bay],_xleta.NA,0)</f>
        <v>14</v>
      </c>
      <c r="I562" s="1" t="str">
        <f t="shared" si="40"/>
        <v>03</v>
      </c>
      <c r="J562">
        <f t="shared" si="41"/>
        <v>4</v>
      </c>
      <c r="K562" t="str">
        <f>_xlfn.XLOOKUP(Table2[[#This Row],[Row]],Table1[Row],Table1[StartSide],0)</f>
        <v>L</v>
      </c>
      <c r="L562" t="str">
        <f t="shared" si="42"/>
        <v>R</v>
      </c>
      <c r="M562" t="str">
        <f t="shared" si="43"/>
        <v>PS2_D03_4_R</v>
      </c>
    </row>
    <row r="563" spans="1:13" x14ac:dyDescent="0.25">
      <c r="A563" t="s">
        <v>570</v>
      </c>
      <c r="B563" t="s">
        <v>766</v>
      </c>
      <c r="C563" t="s">
        <v>763</v>
      </c>
      <c r="D563">
        <v>5</v>
      </c>
      <c r="E563" t="s">
        <v>751</v>
      </c>
      <c r="F563" t="s">
        <v>780</v>
      </c>
      <c r="G563" t="str">
        <f t="shared" si="44"/>
        <v>D</v>
      </c>
      <c r="H563">
        <f>_xlfn.XLOOKUP(Table2[[#This Row],[Zone]],Table1[Row],Table1[Max Bay],_xleta.NA,0)</f>
        <v>14</v>
      </c>
      <c r="I563" s="1" t="str">
        <f t="shared" si="40"/>
        <v>03</v>
      </c>
      <c r="J563">
        <f t="shared" si="41"/>
        <v>5</v>
      </c>
      <c r="K563" t="str">
        <f>_xlfn.XLOOKUP(Table2[[#This Row],[Row]],Table1[Row],Table1[StartSide],0)</f>
        <v>L</v>
      </c>
      <c r="L563" t="str">
        <f t="shared" si="42"/>
        <v>L</v>
      </c>
      <c r="M563" t="str">
        <f t="shared" si="43"/>
        <v>PS2_D03_5_L</v>
      </c>
    </row>
    <row r="564" spans="1:13" x14ac:dyDescent="0.25">
      <c r="A564" t="s">
        <v>571</v>
      </c>
      <c r="B564" t="s">
        <v>766</v>
      </c>
      <c r="C564" t="s">
        <v>763</v>
      </c>
      <c r="D564">
        <v>5</v>
      </c>
      <c r="E564" t="s">
        <v>752</v>
      </c>
      <c r="F564" t="s">
        <v>780</v>
      </c>
      <c r="G564" t="str">
        <f t="shared" si="44"/>
        <v>D</v>
      </c>
      <c r="H564">
        <f>_xlfn.XLOOKUP(Table2[[#This Row],[Zone]],Table1[Row],Table1[Max Bay],_xleta.NA,0)</f>
        <v>14</v>
      </c>
      <c r="I564" s="1" t="str">
        <f t="shared" si="40"/>
        <v>03</v>
      </c>
      <c r="J564">
        <f t="shared" si="41"/>
        <v>5</v>
      </c>
      <c r="K564" t="str">
        <f>_xlfn.XLOOKUP(Table2[[#This Row],[Row]],Table1[Row],Table1[StartSide],0)</f>
        <v>L</v>
      </c>
      <c r="L564" t="str">
        <f t="shared" si="42"/>
        <v>R</v>
      </c>
      <c r="M564" t="str">
        <f t="shared" si="43"/>
        <v>PS2_D03_5_R</v>
      </c>
    </row>
    <row r="565" spans="1:13" x14ac:dyDescent="0.25">
      <c r="A565" t="s">
        <v>572</v>
      </c>
      <c r="B565" t="s">
        <v>766</v>
      </c>
      <c r="C565" t="s">
        <v>763</v>
      </c>
      <c r="D565">
        <v>6</v>
      </c>
      <c r="E565" t="s">
        <v>751</v>
      </c>
      <c r="F565" t="s">
        <v>780</v>
      </c>
      <c r="G565" t="str">
        <f t="shared" si="44"/>
        <v>D</v>
      </c>
      <c r="H565">
        <f>_xlfn.XLOOKUP(Table2[[#This Row],[Zone]],Table1[Row],Table1[Max Bay],_xleta.NA,0)</f>
        <v>14</v>
      </c>
      <c r="I565" s="1" t="str">
        <f t="shared" si="40"/>
        <v>03</v>
      </c>
      <c r="J565">
        <f t="shared" si="41"/>
        <v>6</v>
      </c>
      <c r="K565" t="str">
        <f>_xlfn.XLOOKUP(Table2[[#This Row],[Row]],Table1[Row],Table1[StartSide],0)</f>
        <v>L</v>
      </c>
      <c r="L565" t="str">
        <f t="shared" si="42"/>
        <v>L</v>
      </c>
      <c r="M565" t="str">
        <f t="shared" si="43"/>
        <v>PS2_D03_6_L</v>
      </c>
    </row>
    <row r="566" spans="1:13" x14ac:dyDescent="0.25">
      <c r="A566" t="s">
        <v>573</v>
      </c>
      <c r="B566" t="s">
        <v>766</v>
      </c>
      <c r="C566" t="s">
        <v>763</v>
      </c>
      <c r="D566">
        <v>6</v>
      </c>
      <c r="E566" t="s">
        <v>752</v>
      </c>
      <c r="F566" t="s">
        <v>780</v>
      </c>
      <c r="G566" t="str">
        <f t="shared" si="44"/>
        <v>D</v>
      </c>
      <c r="H566">
        <f>_xlfn.XLOOKUP(Table2[[#This Row],[Zone]],Table1[Row],Table1[Max Bay],_xleta.NA,0)</f>
        <v>14</v>
      </c>
      <c r="I566" s="1" t="str">
        <f t="shared" si="40"/>
        <v>03</v>
      </c>
      <c r="J566">
        <f t="shared" si="41"/>
        <v>6</v>
      </c>
      <c r="K566" t="str">
        <f>_xlfn.XLOOKUP(Table2[[#This Row],[Row]],Table1[Row],Table1[StartSide],0)</f>
        <v>L</v>
      </c>
      <c r="L566" t="str">
        <f t="shared" si="42"/>
        <v>R</v>
      </c>
      <c r="M566" t="str">
        <f t="shared" si="43"/>
        <v>PS2_D03_6_R</v>
      </c>
    </row>
    <row r="567" spans="1:13" x14ac:dyDescent="0.25">
      <c r="A567" t="s">
        <v>574</v>
      </c>
      <c r="B567" t="s">
        <v>766</v>
      </c>
      <c r="C567" t="s">
        <v>767</v>
      </c>
      <c r="D567">
        <v>4</v>
      </c>
      <c r="E567" t="s">
        <v>751</v>
      </c>
      <c r="F567" t="s">
        <v>780</v>
      </c>
      <c r="G567" t="str">
        <f t="shared" si="44"/>
        <v>D</v>
      </c>
      <c r="H567">
        <f>_xlfn.XLOOKUP(Table2[[#This Row],[Zone]],Table1[Row],Table1[Max Bay],_xleta.NA,0)</f>
        <v>14</v>
      </c>
      <c r="I567" s="1" t="str">
        <f t="shared" si="40"/>
        <v>02</v>
      </c>
      <c r="J567">
        <f t="shared" si="41"/>
        <v>4</v>
      </c>
      <c r="K567" t="str">
        <f>_xlfn.XLOOKUP(Table2[[#This Row],[Row]],Table1[Row],Table1[StartSide],0)</f>
        <v>L</v>
      </c>
      <c r="L567" t="str">
        <f t="shared" si="42"/>
        <v>L</v>
      </c>
      <c r="M567" t="str">
        <f t="shared" si="43"/>
        <v>PS2_D02_4_L</v>
      </c>
    </row>
    <row r="568" spans="1:13" x14ac:dyDescent="0.25">
      <c r="A568" t="s">
        <v>575</v>
      </c>
      <c r="B568" t="s">
        <v>766</v>
      </c>
      <c r="C568" t="s">
        <v>767</v>
      </c>
      <c r="D568">
        <v>4</v>
      </c>
      <c r="E568" t="s">
        <v>752</v>
      </c>
      <c r="F568" t="s">
        <v>780</v>
      </c>
      <c r="G568" t="str">
        <f t="shared" si="44"/>
        <v>D</v>
      </c>
      <c r="H568">
        <f>_xlfn.XLOOKUP(Table2[[#This Row],[Zone]],Table1[Row],Table1[Max Bay],_xleta.NA,0)</f>
        <v>14</v>
      </c>
      <c r="I568" s="1" t="str">
        <f t="shared" si="40"/>
        <v>02</v>
      </c>
      <c r="J568">
        <f t="shared" si="41"/>
        <v>4</v>
      </c>
      <c r="K568" t="str">
        <f>_xlfn.XLOOKUP(Table2[[#This Row],[Row]],Table1[Row],Table1[StartSide],0)</f>
        <v>L</v>
      </c>
      <c r="L568" t="str">
        <f t="shared" si="42"/>
        <v>R</v>
      </c>
      <c r="M568" t="str">
        <f t="shared" si="43"/>
        <v>PS2_D02_4_R</v>
      </c>
    </row>
    <row r="569" spans="1:13" x14ac:dyDescent="0.25">
      <c r="A569" t="s">
        <v>576</v>
      </c>
      <c r="B569" t="s">
        <v>766</v>
      </c>
      <c r="C569" t="s">
        <v>767</v>
      </c>
      <c r="D569">
        <v>5</v>
      </c>
      <c r="E569" t="s">
        <v>751</v>
      </c>
      <c r="F569" t="s">
        <v>780</v>
      </c>
      <c r="G569" t="str">
        <f t="shared" si="44"/>
        <v>D</v>
      </c>
      <c r="H569">
        <f>_xlfn.XLOOKUP(Table2[[#This Row],[Zone]],Table1[Row],Table1[Max Bay],_xleta.NA,0)</f>
        <v>14</v>
      </c>
      <c r="I569" s="1" t="str">
        <f t="shared" si="40"/>
        <v>02</v>
      </c>
      <c r="J569">
        <f t="shared" si="41"/>
        <v>5</v>
      </c>
      <c r="K569" t="str">
        <f>_xlfn.XLOOKUP(Table2[[#This Row],[Row]],Table1[Row],Table1[StartSide],0)</f>
        <v>L</v>
      </c>
      <c r="L569" t="str">
        <f t="shared" si="42"/>
        <v>L</v>
      </c>
      <c r="M569" t="str">
        <f t="shared" si="43"/>
        <v>PS2_D02_5_L</v>
      </c>
    </row>
    <row r="570" spans="1:13" x14ac:dyDescent="0.25">
      <c r="A570" t="s">
        <v>577</v>
      </c>
      <c r="B570" t="s">
        <v>766</v>
      </c>
      <c r="C570" t="s">
        <v>767</v>
      </c>
      <c r="D570">
        <v>5</v>
      </c>
      <c r="E570" t="s">
        <v>752</v>
      </c>
      <c r="F570" t="s">
        <v>780</v>
      </c>
      <c r="G570" t="str">
        <f t="shared" si="44"/>
        <v>D</v>
      </c>
      <c r="H570">
        <f>_xlfn.XLOOKUP(Table2[[#This Row],[Zone]],Table1[Row],Table1[Max Bay],_xleta.NA,0)</f>
        <v>14</v>
      </c>
      <c r="I570" s="1" t="str">
        <f t="shared" si="40"/>
        <v>02</v>
      </c>
      <c r="J570">
        <f t="shared" si="41"/>
        <v>5</v>
      </c>
      <c r="K570" t="str">
        <f>_xlfn.XLOOKUP(Table2[[#This Row],[Row]],Table1[Row],Table1[StartSide],0)</f>
        <v>L</v>
      </c>
      <c r="L570" t="str">
        <f t="shared" si="42"/>
        <v>R</v>
      </c>
      <c r="M570" t="str">
        <f t="shared" si="43"/>
        <v>PS2_D02_5_R</v>
      </c>
    </row>
    <row r="571" spans="1:13" x14ac:dyDescent="0.25">
      <c r="A571" t="s">
        <v>578</v>
      </c>
      <c r="B571" t="s">
        <v>766</v>
      </c>
      <c r="C571" t="s">
        <v>767</v>
      </c>
      <c r="D571">
        <v>6</v>
      </c>
      <c r="E571" t="s">
        <v>751</v>
      </c>
      <c r="F571" t="s">
        <v>780</v>
      </c>
      <c r="G571" t="str">
        <f t="shared" si="44"/>
        <v>D</v>
      </c>
      <c r="H571">
        <f>_xlfn.XLOOKUP(Table2[[#This Row],[Zone]],Table1[Row],Table1[Max Bay],_xleta.NA,0)</f>
        <v>14</v>
      </c>
      <c r="I571" s="1" t="str">
        <f t="shared" si="40"/>
        <v>02</v>
      </c>
      <c r="J571">
        <f t="shared" si="41"/>
        <v>6</v>
      </c>
      <c r="K571" t="str">
        <f>_xlfn.XLOOKUP(Table2[[#This Row],[Row]],Table1[Row],Table1[StartSide],0)</f>
        <v>L</v>
      </c>
      <c r="L571" t="str">
        <f t="shared" si="42"/>
        <v>L</v>
      </c>
      <c r="M571" t="str">
        <f t="shared" si="43"/>
        <v>PS2_D02_6_L</v>
      </c>
    </row>
    <row r="572" spans="1:13" x14ac:dyDescent="0.25">
      <c r="A572" t="s">
        <v>579</v>
      </c>
      <c r="B572" t="s">
        <v>766</v>
      </c>
      <c r="C572" t="s">
        <v>767</v>
      </c>
      <c r="D572">
        <v>6</v>
      </c>
      <c r="E572" t="s">
        <v>752</v>
      </c>
      <c r="F572" t="s">
        <v>780</v>
      </c>
      <c r="G572" t="str">
        <f t="shared" si="44"/>
        <v>D</v>
      </c>
      <c r="H572">
        <f>_xlfn.XLOOKUP(Table2[[#This Row],[Zone]],Table1[Row],Table1[Max Bay],_xleta.NA,0)</f>
        <v>14</v>
      </c>
      <c r="I572" s="1" t="str">
        <f t="shared" si="40"/>
        <v>02</v>
      </c>
      <c r="J572">
        <f t="shared" si="41"/>
        <v>6</v>
      </c>
      <c r="K572" t="str">
        <f>_xlfn.XLOOKUP(Table2[[#This Row],[Row]],Table1[Row],Table1[StartSide],0)</f>
        <v>L</v>
      </c>
      <c r="L572" t="str">
        <f t="shared" si="42"/>
        <v>R</v>
      </c>
      <c r="M572" t="str">
        <f t="shared" si="43"/>
        <v>PS2_D02_6_R</v>
      </c>
    </row>
    <row r="573" spans="1:13" x14ac:dyDescent="0.25">
      <c r="A573" t="s">
        <v>580</v>
      </c>
      <c r="B573" t="s">
        <v>766</v>
      </c>
      <c r="C573" t="s">
        <v>768</v>
      </c>
      <c r="D573">
        <v>1</v>
      </c>
      <c r="E573" t="s">
        <v>751</v>
      </c>
      <c r="F573" t="s">
        <v>780</v>
      </c>
      <c r="G573" t="str">
        <f t="shared" si="44"/>
        <v>D</v>
      </c>
      <c r="H573">
        <f>_xlfn.XLOOKUP(Table2[[#This Row],[Zone]],Table1[Row],Table1[Max Bay],_xleta.NA,0)</f>
        <v>14</v>
      </c>
      <c r="I573" s="1" t="str">
        <f t="shared" si="40"/>
        <v>01</v>
      </c>
      <c r="J573">
        <f t="shared" si="41"/>
        <v>1</v>
      </c>
      <c r="K573" t="str">
        <f>_xlfn.XLOOKUP(Table2[[#This Row],[Row]],Table1[Row],Table1[StartSide],0)</f>
        <v>L</v>
      </c>
      <c r="L573" t="str">
        <f t="shared" si="42"/>
        <v>L</v>
      </c>
      <c r="M573" t="str">
        <f t="shared" si="43"/>
        <v>PS2_D01_1_L</v>
      </c>
    </row>
    <row r="574" spans="1:13" x14ac:dyDescent="0.25">
      <c r="A574" t="s">
        <v>581</v>
      </c>
      <c r="B574" t="s">
        <v>766</v>
      </c>
      <c r="C574" t="s">
        <v>768</v>
      </c>
      <c r="D574">
        <v>1</v>
      </c>
      <c r="E574" t="s">
        <v>752</v>
      </c>
      <c r="F574" t="s">
        <v>780</v>
      </c>
      <c r="G574" t="str">
        <f t="shared" si="44"/>
        <v>D</v>
      </c>
      <c r="H574">
        <f>_xlfn.XLOOKUP(Table2[[#This Row],[Zone]],Table1[Row],Table1[Max Bay],_xleta.NA,0)</f>
        <v>14</v>
      </c>
      <c r="I574" s="1" t="str">
        <f t="shared" si="40"/>
        <v>01</v>
      </c>
      <c r="J574">
        <f t="shared" si="41"/>
        <v>1</v>
      </c>
      <c r="K574" t="str">
        <f>_xlfn.XLOOKUP(Table2[[#This Row],[Row]],Table1[Row],Table1[StartSide],0)</f>
        <v>L</v>
      </c>
      <c r="L574" t="str">
        <f t="shared" si="42"/>
        <v>R</v>
      </c>
      <c r="M574" t="str">
        <f t="shared" si="43"/>
        <v>PS2_D01_1_R</v>
      </c>
    </row>
    <row r="575" spans="1:13" x14ac:dyDescent="0.25">
      <c r="A575" t="s">
        <v>582</v>
      </c>
      <c r="B575" t="s">
        <v>766</v>
      </c>
      <c r="C575" t="s">
        <v>768</v>
      </c>
      <c r="D575">
        <v>2</v>
      </c>
      <c r="E575" t="s">
        <v>751</v>
      </c>
      <c r="F575" t="s">
        <v>780</v>
      </c>
      <c r="G575" t="str">
        <f t="shared" si="44"/>
        <v>D</v>
      </c>
      <c r="H575">
        <f>_xlfn.XLOOKUP(Table2[[#This Row],[Zone]],Table1[Row],Table1[Max Bay],_xleta.NA,0)</f>
        <v>14</v>
      </c>
      <c r="I575" s="1" t="str">
        <f t="shared" si="40"/>
        <v>01</v>
      </c>
      <c r="J575">
        <f t="shared" si="41"/>
        <v>2</v>
      </c>
      <c r="K575" t="str">
        <f>_xlfn.XLOOKUP(Table2[[#This Row],[Row]],Table1[Row],Table1[StartSide],0)</f>
        <v>L</v>
      </c>
      <c r="L575" t="str">
        <f t="shared" si="42"/>
        <v>L</v>
      </c>
      <c r="M575" t="str">
        <f t="shared" si="43"/>
        <v>PS2_D01_2_L</v>
      </c>
    </row>
    <row r="576" spans="1:13" x14ac:dyDescent="0.25">
      <c r="A576" t="s">
        <v>583</v>
      </c>
      <c r="B576" t="s">
        <v>766</v>
      </c>
      <c r="C576" t="s">
        <v>768</v>
      </c>
      <c r="D576">
        <v>2</v>
      </c>
      <c r="E576" t="s">
        <v>752</v>
      </c>
      <c r="F576" t="s">
        <v>780</v>
      </c>
      <c r="G576" t="str">
        <f t="shared" si="44"/>
        <v>D</v>
      </c>
      <c r="H576">
        <f>_xlfn.XLOOKUP(Table2[[#This Row],[Zone]],Table1[Row],Table1[Max Bay],_xleta.NA,0)</f>
        <v>14</v>
      </c>
      <c r="I576" s="1" t="str">
        <f t="shared" si="40"/>
        <v>01</v>
      </c>
      <c r="J576">
        <f t="shared" si="41"/>
        <v>2</v>
      </c>
      <c r="K576" t="str">
        <f>_xlfn.XLOOKUP(Table2[[#This Row],[Row]],Table1[Row],Table1[StartSide],0)</f>
        <v>L</v>
      </c>
      <c r="L576" t="str">
        <f t="shared" si="42"/>
        <v>R</v>
      </c>
      <c r="M576" t="str">
        <f t="shared" si="43"/>
        <v>PS2_D01_2_R</v>
      </c>
    </row>
    <row r="577" spans="1:13" x14ac:dyDescent="0.25">
      <c r="A577" t="s">
        <v>584</v>
      </c>
      <c r="B577" t="s">
        <v>766</v>
      </c>
      <c r="C577" t="s">
        <v>768</v>
      </c>
      <c r="D577">
        <v>3</v>
      </c>
      <c r="E577" t="s">
        <v>751</v>
      </c>
      <c r="F577" t="s">
        <v>780</v>
      </c>
      <c r="G577" t="str">
        <f t="shared" si="44"/>
        <v>D</v>
      </c>
      <c r="H577">
        <f>_xlfn.XLOOKUP(Table2[[#This Row],[Zone]],Table1[Row],Table1[Max Bay],_xleta.NA,0)</f>
        <v>14</v>
      </c>
      <c r="I577" s="1" t="str">
        <f t="shared" si="40"/>
        <v>01</v>
      </c>
      <c r="J577">
        <f t="shared" si="41"/>
        <v>3</v>
      </c>
      <c r="K577" t="str">
        <f>_xlfn.XLOOKUP(Table2[[#This Row],[Row]],Table1[Row],Table1[StartSide],0)</f>
        <v>L</v>
      </c>
      <c r="L577" t="str">
        <f t="shared" si="42"/>
        <v>L</v>
      </c>
      <c r="M577" t="str">
        <f t="shared" si="43"/>
        <v>PS2_D01_3_L</v>
      </c>
    </row>
    <row r="578" spans="1:13" x14ac:dyDescent="0.25">
      <c r="A578" t="s">
        <v>585</v>
      </c>
      <c r="B578" t="s">
        <v>766</v>
      </c>
      <c r="C578" t="s">
        <v>768</v>
      </c>
      <c r="D578">
        <v>3</v>
      </c>
      <c r="E578" t="s">
        <v>752</v>
      </c>
      <c r="F578" t="s">
        <v>780</v>
      </c>
      <c r="G578" t="str">
        <f t="shared" si="44"/>
        <v>D</v>
      </c>
      <c r="H578">
        <f>_xlfn.XLOOKUP(Table2[[#This Row],[Zone]],Table1[Row],Table1[Max Bay],_xleta.NA,0)</f>
        <v>14</v>
      </c>
      <c r="I578" s="1" t="str">
        <f t="shared" ref="I578:I641" si="45">TEXT(H578-INT(C578)+1,"00")</f>
        <v>01</v>
      </c>
      <c r="J578">
        <f t="shared" ref="J578:J641" si="46">D578</f>
        <v>3</v>
      </c>
      <c r="K578" t="str">
        <f>_xlfn.XLOOKUP(Table2[[#This Row],[Row]],Table1[Row],Table1[StartSide],0)</f>
        <v>L</v>
      </c>
      <c r="L578" t="str">
        <f t="shared" ref="L578:L641" si="47">E578</f>
        <v>R</v>
      </c>
      <c r="M578" t="str">
        <f t="shared" ref="M578:M641" si="48">_xlfn.CONCAT(F578,"_",G578,I578,"_",J578,"_",L578)</f>
        <v>PS2_D01_3_R</v>
      </c>
    </row>
    <row r="579" spans="1:13" x14ac:dyDescent="0.25">
      <c r="A579" t="s">
        <v>586</v>
      </c>
      <c r="B579" t="s">
        <v>766</v>
      </c>
      <c r="C579" t="s">
        <v>768</v>
      </c>
      <c r="D579">
        <v>4</v>
      </c>
      <c r="E579" t="s">
        <v>751</v>
      </c>
      <c r="F579" t="s">
        <v>780</v>
      </c>
      <c r="G579" t="str">
        <f t="shared" ref="G579:G642" si="49">B579</f>
        <v>D</v>
      </c>
      <c r="H579">
        <f>_xlfn.XLOOKUP(Table2[[#This Row],[Zone]],Table1[Row],Table1[Max Bay],_xleta.NA,0)</f>
        <v>14</v>
      </c>
      <c r="I579" s="1" t="str">
        <f t="shared" si="45"/>
        <v>01</v>
      </c>
      <c r="J579">
        <f t="shared" si="46"/>
        <v>4</v>
      </c>
      <c r="K579" t="str">
        <f>_xlfn.XLOOKUP(Table2[[#This Row],[Row]],Table1[Row],Table1[StartSide],0)</f>
        <v>L</v>
      </c>
      <c r="L579" t="str">
        <f t="shared" si="47"/>
        <v>L</v>
      </c>
      <c r="M579" t="str">
        <f t="shared" si="48"/>
        <v>PS2_D01_4_L</v>
      </c>
    </row>
    <row r="580" spans="1:13" x14ac:dyDescent="0.25">
      <c r="A580" t="s">
        <v>587</v>
      </c>
      <c r="B580" t="s">
        <v>766</v>
      </c>
      <c r="C580" t="s">
        <v>768</v>
      </c>
      <c r="D580">
        <v>4</v>
      </c>
      <c r="E580" t="s">
        <v>752</v>
      </c>
      <c r="F580" t="s">
        <v>780</v>
      </c>
      <c r="G580" t="str">
        <f t="shared" si="49"/>
        <v>D</v>
      </c>
      <c r="H580">
        <f>_xlfn.XLOOKUP(Table2[[#This Row],[Zone]],Table1[Row],Table1[Max Bay],_xleta.NA,0)</f>
        <v>14</v>
      </c>
      <c r="I580" s="1" t="str">
        <f t="shared" si="45"/>
        <v>01</v>
      </c>
      <c r="J580">
        <f t="shared" si="46"/>
        <v>4</v>
      </c>
      <c r="K580" t="str">
        <f>_xlfn.XLOOKUP(Table2[[#This Row],[Row]],Table1[Row],Table1[StartSide],0)</f>
        <v>L</v>
      </c>
      <c r="L580" t="str">
        <f t="shared" si="47"/>
        <v>R</v>
      </c>
      <c r="M580" t="str">
        <f t="shared" si="48"/>
        <v>PS2_D01_4_R</v>
      </c>
    </row>
    <row r="581" spans="1:13" x14ac:dyDescent="0.25">
      <c r="A581" t="s">
        <v>588</v>
      </c>
      <c r="B581" t="s">
        <v>766</v>
      </c>
      <c r="C581" t="s">
        <v>768</v>
      </c>
      <c r="D581">
        <v>5</v>
      </c>
      <c r="E581" t="s">
        <v>751</v>
      </c>
      <c r="F581" t="s">
        <v>780</v>
      </c>
      <c r="G581" t="str">
        <f t="shared" si="49"/>
        <v>D</v>
      </c>
      <c r="H581">
        <f>_xlfn.XLOOKUP(Table2[[#This Row],[Zone]],Table1[Row],Table1[Max Bay],_xleta.NA,0)</f>
        <v>14</v>
      </c>
      <c r="I581" s="1" t="str">
        <f t="shared" si="45"/>
        <v>01</v>
      </c>
      <c r="J581">
        <f t="shared" si="46"/>
        <v>5</v>
      </c>
      <c r="K581" t="str">
        <f>_xlfn.XLOOKUP(Table2[[#This Row],[Row]],Table1[Row],Table1[StartSide],0)</f>
        <v>L</v>
      </c>
      <c r="L581" t="str">
        <f t="shared" si="47"/>
        <v>L</v>
      </c>
      <c r="M581" t="str">
        <f t="shared" si="48"/>
        <v>PS2_D01_5_L</v>
      </c>
    </row>
    <row r="582" spans="1:13" x14ac:dyDescent="0.25">
      <c r="A582" t="s">
        <v>589</v>
      </c>
      <c r="B582" t="s">
        <v>766</v>
      </c>
      <c r="C582" t="s">
        <v>768</v>
      </c>
      <c r="D582">
        <v>5</v>
      </c>
      <c r="E582" t="s">
        <v>752</v>
      </c>
      <c r="F582" t="s">
        <v>780</v>
      </c>
      <c r="G582" t="str">
        <f t="shared" si="49"/>
        <v>D</v>
      </c>
      <c r="H582">
        <f>_xlfn.XLOOKUP(Table2[[#This Row],[Zone]],Table1[Row],Table1[Max Bay],_xleta.NA,0)</f>
        <v>14</v>
      </c>
      <c r="I582" s="1" t="str">
        <f t="shared" si="45"/>
        <v>01</v>
      </c>
      <c r="J582">
        <f t="shared" si="46"/>
        <v>5</v>
      </c>
      <c r="K582" t="str">
        <f>_xlfn.XLOOKUP(Table2[[#This Row],[Row]],Table1[Row],Table1[StartSide],0)</f>
        <v>L</v>
      </c>
      <c r="L582" t="str">
        <f t="shared" si="47"/>
        <v>R</v>
      </c>
      <c r="M582" t="str">
        <f t="shared" si="48"/>
        <v>PS2_D01_5_R</v>
      </c>
    </row>
    <row r="583" spans="1:13" x14ac:dyDescent="0.25">
      <c r="A583" t="s">
        <v>590</v>
      </c>
      <c r="B583" t="s">
        <v>766</v>
      </c>
      <c r="C583" t="s">
        <v>768</v>
      </c>
      <c r="D583">
        <v>6</v>
      </c>
      <c r="E583" t="s">
        <v>751</v>
      </c>
      <c r="F583" t="s">
        <v>780</v>
      </c>
      <c r="G583" t="str">
        <f t="shared" si="49"/>
        <v>D</v>
      </c>
      <c r="H583">
        <f>_xlfn.XLOOKUP(Table2[[#This Row],[Zone]],Table1[Row],Table1[Max Bay],_xleta.NA,0)</f>
        <v>14</v>
      </c>
      <c r="I583" s="1" t="str">
        <f t="shared" si="45"/>
        <v>01</v>
      </c>
      <c r="J583">
        <f t="shared" si="46"/>
        <v>6</v>
      </c>
      <c r="K583" t="str">
        <f>_xlfn.XLOOKUP(Table2[[#This Row],[Row]],Table1[Row],Table1[StartSide],0)</f>
        <v>L</v>
      </c>
      <c r="L583" t="str">
        <f t="shared" si="47"/>
        <v>L</v>
      </c>
      <c r="M583" t="str">
        <f t="shared" si="48"/>
        <v>PS2_D01_6_L</v>
      </c>
    </row>
    <row r="584" spans="1:13" x14ac:dyDescent="0.25">
      <c r="A584" t="s">
        <v>591</v>
      </c>
      <c r="B584" t="s">
        <v>766</v>
      </c>
      <c r="C584" t="s">
        <v>768</v>
      </c>
      <c r="D584">
        <v>6</v>
      </c>
      <c r="E584" t="s">
        <v>752</v>
      </c>
      <c r="F584" t="s">
        <v>780</v>
      </c>
      <c r="G584" t="str">
        <f t="shared" si="49"/>
        <v>D</v>
      </c>
      <c r="H584">
        <f>_xlfn.XLOOKUP(Table2[[#This Row],[Zone]],Table1[Row],Table1[Max Bay],_xleta.NA,0)</f>
        <v>14</v>
      </c>
      <c r="I584" s="1" t="str">
        <f t="shared" si="45"/>
        <v>01</v>
      </c>
      <c r="J584">
        <f t="shared" si="46"/>
        <v>6</v>
      </c>
      <c r="K584" t="str">
        <f>_xlfn.XLOOKUP(Table2[[#This Row],[Row]],Table1[Row],Table1[StartSide],0)</f>
        <v>L</v>
      </c>
      <c r="L584" t="str">
        <f t="shared" si="47"/>
        <v>R</v>
      </c>
      <c r="M584" t="str">
        <f t="shared" si="48"/>
        <v>PS2_D01_6_R</v>
      </c>
    </row>
    <row r="585" spans="1:13" x14ac:dyDescent="0.25">
      <c r="A585" t="s">
        <v>592</v>
      </c>
      <c r="B585" t="s">
        <v>769</v>
      </c>
      <c r="C585" t="s">
        <v>750</v>
      </c>
      <c r="D585">
        <v>1</v>
      </c>
      <c r="E585" t="s">
        <v>751</v>
      </c>
      <c r="F585" t="s">
        <v>780</v>
      </c>
      <c r="G585" t="str">
        <f t="shared" si="49"/>
        <v>E</v>
      </c>
      <c r="H585">
        <f>_xlfn.XLOOKUP(Table2[[#This Row],[Zone]],Table1[Row],Table1[Max Bay],_xleta.NA,0)</f>
        <v>14</v>
      </c>
      <c r="I585" s="1" t="str">
        <f t="shared" si="45"/>
        <v>14</v>
      </c>
      <c r="J585">
        <f t="shared" si="46"/>
        <v>1</v>
      </c>
      <c r="K585" t="str">
        <f>_xlfn.XLOOKUP(Table2[[#This Row],[Row]],Table1[Row],Table1[StartSide],0)</f>
        <v>R</v>
      </c>
      <c r="L585" t="str">
        <f t="shared" si="47"/>
        <v>L</v>
      </c>
      <c r="M585" t="str">
        <f t="shared" si="48"/>
        <v>PS2_E14_1_L</v>
      </c>
    </row>
    <row r="586" spans="1:13" x14ac:dyDescent="0.25">
      <c r="A586" t="s">
        <v>593</v>
      </c>
      <c r="B586" t="s">
        <v>769</v>
      </c>
      <c r="C586" t="s">
        <v>750</v>
      </c>
      <c r="D586">
        <v>1</v>
      </c>
      <c r="E586" t="s">
        <v>752</v>
      </c>
      <c r="F586" t="s">
        <v>780</v>
      </c>
      <c r="G586" t="str">
        <f t="shared" si="49"/>
        <v>E</v>
      </c>
      <c r="H586">
        <f>_xlfn.XLOOKUP(Table2[[#This Row],[Zone]],Table1[Row],Table1[Max Bay],_xleta.NA,0)</f>
        <v>14</v>
      </c>
      <c r="I586" s="1" t="str">
        <f t="shared" si="45"/>
        <v>14</v>
      </c>
      <c r="J586">
        <f t="shared" si="46"/>
        <v>1</v>
      </c>
      <c r="K586" t="str">
        <f>_xlfn.XLOOKUP(Table2[[#This Row],[Row]],Table1[Row],Table1[StartSide],0)</f>
        <v>R</v>
      </c>
      <c r="L586" t="str">
        <f t="shared" si="47"/>
        <v>R</v>
      </c>
      <c r="M586" t="str">
        <f t="shared" si="48"/>
        <v>PS2_E14_1_R</v>
      </c>
    </row>
    <row r="587" spans="1:13" x14ac:dyDescent="0.25">
      <c r="A587" t="s">
        <v>594</v>
      </c>
      <c r="B587" t="s">
        <v>769</v>
      </c>
      <c r="C587" t="s">
        <v>750</v>
      </c>
      <c r="D587">
        <v>2</v>
      </c>
      <c r="E587" t="s">
        <v>751</v>
      </c>
      <c r="F587" t="s">
        <v>780</v>
      </c>
      <c r="G587" t="str">
        <f t="shared" si="49"/>
        <v>E</v>
      </c>
      <c r="H587">
        <f>_xlfn.XLOOKUP(Table2[[#This Row],[Zone]],Table1[Row],Table1[Max Bay],_xleta.NA,0)</f>
        <v>14</v>
      </c>
      <c r="I587" s="1" t="str">
        <f t="shared" si="45"/>
        <v>14</v>
      </c>
      <c r="J587">
        <f t="shared" si="46"/>
        <v>2</v>
      </c>
      <c r="K587" t="str">
        <f>_xlfn.XLOOKUP(Table2[[#This Row],[Row]],Table1[Row],Table1[StartSide],0)</f>
        <v>R</v>
      </c>
      <c r="L587" t="str">
        <f t="shared" si="47"/>
        <v>L</v>
      </c>
      <c r="M587" t="str">
        <f t="shared" si="48"/>
        <v>PS2_E14_2_L</v>
      </c>
    </row>
    <row r="588" spans="1:13" x14ac:dyDescent="0.25">
      <c r="A588" t="s">
        <v>595</v>
      </c>
      <c r="B588" t="s">
        <v>769</v>
      </c>
      <c r="C588" t="s">
        <v>750</v>
      </c>
      <c r="D588">
        <v>2</v>
      </c>
      <c r="E588" t="s">
        <v>752</v>
      </c>
      <c r="F588" t="s">
        <v>780</v>
      </c>
      <c r="G588" t="str">
        <f t="shared" si="49"/>
        <v>E</v>
      </c>
      <c r="H588">
        <f>_xlfn.XLOOKUP(Table2[[#This Row],[Zone]],Table1[Row],Table1[Max Bay],_xleta.NA,0)</f>
        <v>14</v>
      </c>
      <c r="I588" s="1" t="str">
        <f t="shared" si="45"/>
        <v>14</v>
      </c>
      <c r="J588">
        <f t="shared" si="46"/>
        <v>2</v>
      </c>
      <c r="K588" t="str">
        <f>_xlfn.XLOOKUP(Table2[[#This Row],[Row]],Table1[Row],Table1[StartSide],0)</f>
        <v>R</v>
      </c>
      <c r="L588" t="str">
        <f t="shared" si="47"/>
        <v>R</v>
      </c>
      <c r="M588" t="str">
        <f t="shared" si="48"/>
        <v>PS2_E14_2_R</v>
      </c>
    </row>
    <row r="589" spans="1:13" x14ac:dyDescent="0.25">
      <c r="A589" t="s">
        <v>596</v>
      </c>
      <c r="B589" t="s">
        <v>769</v>
      </c>
      <c r="C589" t="s">
        <v>750</v>
      </c>
      <c r="D589">
        <v>3</v>
      </c>
      <c r="E589" t="s">
        <v>751</v>
      </c>
      <c r="F589" t="s">
        <v>780</v>
      </c>
      <c r="G589" t="str">
        <f t="shared" si="49"/>
        <v>E</v>
      </c>
      <c r="H589">
        <f>_xlfn.XLOOKUP(Table2[[#This Row],[Zone]],Table1[Row],Table1[Max Bay],_xleta.NA,0)</f>
        <v>14</v>
      </c>
      <c r="I589" s="1" t="str">
        <f t="shared" si="45"/>
        <v>14</v>
      </c>
      <c r="J589">
        <f t="shared" si="46"/>
        <v>3</v>
      </c>
      <c r="K589" t="str">
        <f>_xlfn.XLOOKUP(Table2[[#This Row],[Row]],Table1[Row],Table1[StartSide],0)</f>
        <v>R</v>
      </c>
      <c r="L589" t="str">
        <f t="shared" si="47"/>
        <v>L</v>
      </c>
      <c r="M589" t="str">
        <f t="shared" si="48"/>
        <v>PS2_E14_3_L</v>
      </c>
    </row>
    <row r="590" spans="1:13" x14ac:dyDescent="0.25">
      <c r="A590" t="s">
        <v>597</v>
      </c>
      <c r="B590" t="s">
        <v>769</v>
      </c>
      <c r="C590" t="s">
        <v>750</v>
      </c>
      <c r="D590">
        <v>3</v>
      </c>
      <c r="E590" t="s">
        <v>752</v>
      </c>
      <c r="F590" t="s">
        <v>780</v>
      </c>
      <c r="G590" t="str">
        <f t="shared" si="49"/>
        <v>E</v>
      </c>
      <c r="H590">
        <f>_xlfn.XLOOKUP(Table2[[#This Row],[Zone]],Table1[Row],Table1[Max Bay],_xleta.NA,0)</f>
        <v>14</v>
      </c>
      <c r="I590" s="1" t="str">
        <f t="shared" si="45"/>
        <v>14</v>
      </c>
      <c r="J590">
        <f t="shared" si="46"/>
        <v>3</v>
      </c>
      <c r="K590" t="str">
        <f>_xlfn.XLOOKUP(Table2[[#This Row],[Row]],Table1[Row],Table1[StartSide],0)</f>
        <v>R</v>
      </c>
      <c r="L590" t="str">
        <f t="shared" si="47"/>
        <v>R</v>
      </c>
      <c r="M590" t="str">
        <f t="shared" si="48"/>
        <v>PS2_E14_3_R</v>
      </c>
    </row>
    <row r="591" spans="1:13" x14ac:dyDescent="0.25">
      <c r="A591" t="s">
        <v>598</v>
      </c>
      <c r="B591" t="s">
        <v>769</v>
      </c>
      <c r="C591" t="s">
        <v>750</v>
      </c>
      <c r="D591">
        <v>4</v>
      </c>
      <c r="E591" t="s">
        <v>751</v>
      </c>
      <c r="F591" t="s">
        <v>780</v>
      </c>
      <c r="G591" t="str">
        <f t="shared" si="49"/>
        <v>E</v>
      </c>
      <c r="H591">
        <f>_xlfn.XLOOKUP(Table2[[#This Row],[Zone]],Table1[Row],Table1[Max Bay],_xleta.NA,0)</f>
        <v>14</v>
      </c>
      <c r="I591" s="1" t="str">
        <f t="shared" si="45"/>
        <v>14</v>
      </c>
      <c r="J591">
        <f t="shared" si="46"/>
        <v>4</v>
      </c>
      <c r="K591" t="str">
        <f>_xlfn.XLOOKUP(Table2[[#This Row],[Row]],Table1[Row],Table1[StartSide],0)</f>
        <v>R</v>
      </c>
      <c r="L591" t="str">
        <f t="shared" si="47"/>
        <v>L</v>
      </c>
      <c r="M591" t="str">
        <f t="shared" si="48"/>
        <v>PS2_E14_4_L</v>
      </c>
    </row>
    <row r="592" spans="1:13" x14ac:dyDescent="0.25">
      <c r="A592" t="s">
        <v>599</v>
      </c>
      <c r="B592" t="s">
        <v>769</v>
      </c>
      <c r="C592" t="s">
        <v>750</v>
      </c>
      <c r="D592">
        <v>4</v>
      </c>
      <c r="E592" t="s">
        <v>752</v>
      </c>
      <c r="F592" t="s">
        <v>780</v>
      </c>
      <c r="G592" t="str">
        <f t="shared" si="49"/>
        <v>E</v>
      </c>
      <c r="H592">
        <f>_xlfn.XLOOKUP(Table2[[#This Row],[Zone]],Table1[Row],Table1[Max Bay],_xleta.NA,0)</f>
        <v>14</v>
      </c>
      <c r="I592" s="1" t="str">
        <f t="shared" si="45"/>
        <v>14</v>
      </c>
      <c r="J592">
        <f t="shared" si="46"/>
        <v>4</v>
      </c>
      <c r="K592" t="str">
        <f>_xlfn.XLOOKUP(Table2[[#This Row],[Row]],Table1[Row],Table1[StartSide],0)</f>
        <v>R</v>
      </c>
      <c r="L592" t="str">
        <f t="shared" si="47"/>
        <v>R</v>
      </c>
      <c r="M592" t="str">
        <f t="shared" si="48"/>
        <v>PS2_E14_4_R</v>
      </c>
    </row>
    <row r="593" spans="1:13" x14ac:dyDescent="0.25">
      <c r="A593" t="s">
        <v>600</v>
      </c>
      <c r="B593" t="s">
        <v>769</v>
      </c>
      <c r="C593" t="s">
        <v>750</v>
      </c>
      <c r="D593">
        <v>5</v>
      </c>
      <c r="E593" t="s">
        <v>751</v>
      </c>
      <c r="F593" t="s">
        <v>780</v>
      </c>
      <c r="G593" t="str">
        <f t="shared" si="49"/>
        <v>E</v>
      </c>
      <c r="H593">
        <f>_xlfn.XLOOKUP(Table2[[#This Row],[Zone]],Table1[Row],Table1[Max Bay],_xleta.NA,0)</f>
        <v>14</v>
      </c>
      <c r="I593" s="1" t="str">
        <f t="shared" si="45"/>
        <v>14</v>
      </c>
      <c r="J593">
        <f t="shared" si="46"/>
        <v>5</v>
      </c>
      <c r="K593" t="str">
        <f>_xlfn.XLOOKUP(Table2[[#This Row],[Row]],Table1[Row],Table1[StartSide],0)</f>
        <v>R</v>
      </c>
      <c r="L593" t="str">
        <f t="shared" si="47"/>
        <v>L</v>
      </c>
      <c r="M593" t="str">
        <f t="shared" si="48"/>
        <v>PS2_E14_5_L</v>
      </c>
    </row>
    <row r="594" spans="1:13" x14ac:dyDescent="0.25">
      <c r="A594" t="s">
        <v>601</v>
      </c>
      <c r="B594" t="s">
        <v>769</v>
      </c>
      <c r="C594" t="s">
        <v>750</v>
      </c>
      <c r="D594">
        <v>5</v>
      </c>
      <c r="E594" t="s">
        <v>752</v>
      </c>
      <c r="F594" t="s">
        <v>780</v>
      </c>
      <c r="G594" t="str">
        <f t="shared" si="49"/>
        <v>E</v>
      </c>
      <c r="H594">
        <f>_xlfn.XLOOKUP(Table2[[#This Row],[Zone]],Table1[Row],Table1[Max Bay],_xleta.NA,0)</f>
        <v>14</v>
      </c>
      <c r="I594" s="1" t="str">
        <f t="shared" si="45"/>
        <v>14</v>
      </c>
      <c r="J594">
        <f t="shared" si="46"/>
        <v>5</v>
      </c>
      <c r="K594" t="str">
        <f>_xlfn.XLOOKUP(Table2[[#This Row],[Row]],Table1[Row],Table1[StartSide],0)</f>
        <v>R</v>
      </c>
      <c r="L594" t="str">
        <f t="shared" si="47"/>
        <v>R</v>
      </c>
      <c r="M594" t="str">
        <f t="shared" si="48"/>
        <v>PS2_E14_5_R</v>
      </c>
    </row>
    <row r="595" spans="1:13" x14ac:dyDescent="0.25">
      <c r="A595" t="s">
        <v>602</v>
      </c>
      <c r="B595" t="s">
        <v>769</v>
      </c>
      <c r="C595" t="s">
        <v>750</v>
      </c>
      <c r="D595">
        <v>6</v>
      </c>
      <c r="E595" t="s">
        <v>752</v>
      </c>
      <c r="F595" t="s">
        <v>780</v>
      </c>
      <c r="G595" t="str">
        <f t="shared" si="49"/>
        <v>E</v>
      </c>
      <c r="H595">
        <f>_xlfn.XLOOKUP(Table2[[#This Row],[Zone]],Table1[Row],Table1[Max Bay],_xleta.NA,0)</f>
        <v>14</v>
      </c>
      <c r="I595" s="1" t="str">
        <f t="shared" si="45"/>
        <v>14</v>
      </c>
      <c r="J595">
        <f t="shared" si="46"/>
        <v>6</v>
      </c>
      <c r="K595" t="str">
        <f>_xlfn.XLOOKUP(Table2[[#This Row],[Row]],Table1[Row],Table1[StartSide],0)</f>
        <v>R</v>
      </c>
      <c r="L595" t="str">
        <f t="shared" si="47"/>
        <v>R</v>
      </c>
      <c r="M595" t="str">
        <f t="shared" si="48"/>
        <v>PS2_E14_6_R</v>
      </c>
    </row>
    <row r="596" spans="1:13" x14ac:dyDescent="0.25">
      <c r="A596" t="s">
        <v>603</v>
      </c>
      <c r="B596" t="s">
        <v>769</v>
      </c>
      <c r="C596" t="s">
        <v>753</v>
      </c>
      <c r="D596">
        <v>1</v>
      </c>
      <c r="E596" t="s">
        <v>751</v>
      </c>
      <c r="F596" t="s">
        <v>780</v>
      </c>
      <c r="G596" t="str">
        <f t="shared" si="49"/>
        <v>E</v>
      </c>
      <c r="H596">
        <f>_xlfn.XLOOKUP(Table2[[#This Row],[Zone]],Table1[Row],Table1[Max Bay],_xleta.NA,0)</f>
        <v>14</v>
      </c>
      <c r="I596" s="1" t="str">
        <f t="shared" si="45"/>
        <v>13</v>
      </c>
      <c r="J596">
        <f t="shared" si="46"/>
        <v>1</v>
      </c>
      <c r="K596" t="str">
        <f>_xlfn.XLOOKUP(Table2[[#This Row],[Row]],Table1[Row],Table1[StartSide],0)</f>
        <v>R</v>
      </c>
      <c r="L596" t="str">
        <f t="shared" si="47"/>
        <v>L</v>
      </c>
      <c r="M596" t="str">
        <f t="shared" si="48"/>
        <v>PS2_E13_1_L</v>
      </c>
    </row>
    <row r="597" spans="1:13" x14ac:dyDescent="0.25">
      <c r="A597" t="s">
        <v>604</v>
      </c>
      <c r="B597" t="s">
        <v>769</v>
      </c>
      <c r="C597" t="s">
        <v>753</v>
      </c>
      <c r="D597">
        <v>1</v>
      </c>
      <c r="E597" t="s">
        <v>752</v>
      </c>
      <c r="F597" t="s">
        <v>780</v>
      </c>
      <c r="G597" t="str">
        <f t="shared" si="49"/>
        <v>E</v>
      </c>
      <c r="H597">
        <f>_xlfn.XLOOKUP(Table2[[#This Row],[Zone]],Table1[Row],Table1[Max Bay],_xleta.NA,0)</f>
        <v>14</v>
      </c>
      <c r="I597" s="1" t="str">
        <f t="shared" si="45"/>
        <v>13</v>
      </c>
      <c r="J597">
        <f t="shared" si="46"/>
        <v>1</v>
      </c>
      <c r="K597" t="str">
        <f>_xlfn.XLOOKUP(Table2[[#This Row],[Row]],Table1[Row],Table1[StartSide],0)</f>
        <v>R</v>
      </c>
      <c r="L597" t="str">
        <f t="shared" si="47"/>
        <v>R</v>
      </c>
      <c r="M597" t="str">
        <f t="shared" si="48"/>
        <v>PS2_E13_1_R</v>
      </c>
    </row>
    <row r="598" spans="1:13" x14ac:dyDescent="0.25">
      <c r="A598" t="s">
        <v>605</v>
      </c>
      <c r="B598" t="s">
        <v>769</v>
      </c>
      <c r="C598" t="s">
        <v>753</v>
      </c>
      <c r="D598">
        <v>2</v>
      </c>
      <c r="E598" t="s">
        <v>751</v>
      </c>
      <c r="F598" t="s">
        <v>780</v>
      </c>
      <c r="G598" t="str">
        <f t="shared" si="49"/>
        <v>E</v>
      </c>
      <c r="H598">
        <f>_xlfn.XLOOKUP(Table2[[#This Row],[Zone]],Table1[Row],Table1[Max Bay],_xleta.NA,0)</f>
        <v>14</v>
      </c>
      <c r="I598" s="1" t="str">
        <f t="shared" si="45"/>
        <v>13</v>
      </c>
      <c r="J598">
        <f t="shared" si="46"/>
        <v>2</v>
      </c>
      <c r="K598" t="str">
        <f>_xlfn.XLOOKUP(Table2[[#This Row],[Row]],Table1[Row],Table1[StartSide],0)</f>
        <v>R</v>
      </c>
      <c r="L598" t="str">
        <f t="shared" si="47"/>
        <v>L</v>
      </c>
      <c r="M598" t="str">
        <f t="shared" si="48"/>
        <v>PS2_E13_2_L</v>
      </c>
    </row>
    <row r="599" spans="1:13" x14ac:dyDescent="0.25">
      <c r="A599" t="s">
        <v>606</v>
      </c>
      <c r="B599" t="s">
        <v>769</v>
      </c>
      <c r="C599" t="s">
        <v>753</v>
      </c>
      <c r="D599">
        <v>2</v>
      </c>
      <c r="E599" t="s">
        <v>752</v>
      </c>
      <c r="F599" t="s">
        <v>780</v>
      </c>
      <c r="G599" t="str">
        <f t="shared" si="49"/>
        <v>E</v>
      </c>
      <c r="H599">
        <f>_xlfn.XLOOKUP(Table2[[#This Row],[Zone]],Table1[Row],Table1[Max Bay],_xleta.NA,0)</f>
        <v>14</v>
      </c>
      <c r="I599" s="1" t="str">
        <f t="shared" si="45"/>
        <v>13</v>
      </c>
      <c r="J599">
        <f t="shared" si="46"/>
        <v>2</v>
      </c>
      <c r="K599" t="str">
        <f>_xlfn.XLOOKUP(Table2[[#This Row],[Row]],Table1[Row],Table1[StartSide],0)</f>
        <v>R</v>
      </c>
      <c r="L599" t="str">
        <f t="shared" si="47"/>
        <v>R</v>
      </c>
      <c r="M599" t="str">
        <f t="shared" si="48"/>
        <v>PS2_E13_2_R</v>
      </c>
    </row>
    <row r="600" spans="1:13" x14ac:dyDescent="0.25">
      <c r="A600" t="s">
        <v>607</v>
      </c>
      <c r="B600" t="s">
        <v>769</v>
      </c>
      <c r="C600" t="s">
        <v>753</v>
      </c>
      <c r="D600">
        <v>3</v>
      </c>
      <c r="E600" t="s">
        <v>751</v>
      </c>
      <c r="F600" t="s">
        <v>780</v>
      </c>
      <c r="G600" t="str">
        <f t="shared" si="49"/>
        <v>E</v>
      </c>
      <c r="H600">
        <f>_xlfn.XLOOKUP(Table2[[#This Row],[Zone]],Table1[Row],Table1[Max Bay],_xleta.NA,0)</f>
        <v>14</v>
      </c>
      <c r="I600" s="1" t="str">
        <f t="shared" si="45"/>
        <v>13</v>
      </c>
      <c r="J600">
        <f t="shared" si="46"/>
        <v>3</v>
      </c>
      <c r="K600" t="str">
        <f>_xlfn.XLOOKUP(Table2[[#This Row],[Row]],Table1[Row],Table1[StartSide],0)</f>
        <v>R</v>
      </c>
      <c r="L600" t="str">
        <f t="shared" si="47"/>
        <v>L</v>
      </c>
      <c r="M600" t="str">
        <f t="shared" si="48"/>
        <v>PS2_E13_3_L</v>
      </c>
    </row>
    <row r="601" spans="1:13" x14ac:dyDescent="0.25">
      <c r="A601" t="s">
        <v>608</v>
      </c>
      <c r="B601" t="s">
        <v>769</v>
      </c>
      <c r="C601" t="s">
        <v>753</v>
      </c>
      <c r="D601">
        <v>3</v>
      </c>
      <c r="E601" t="s">
        <v>752</v>
      </c>
      <c r="F601" t="s">
        <v>780</v>
      </c>
      <c r="G601" t="str">
        <f t="shared" si="49"/>
        <v>E</v>
      </c>
      <c r="H601">
        <f>_xlfn.XLOOKUP(Table2[[#This Row],[Zone]],Table1[Row],Table1[Max Bay],_xleta.NA,0)</f>
        <v>14</v>
      </c>
      <c r="I601" s="1" t="str">
        <f t="shared" si="45"/>
        <v>13</v>
      </c>
      <c r="J601">
        <f t="shared" si="46"/>
        <v>3</v>
      </c>
      <c r="K601" t="str">
        <f>_xlfn.XLOOKUP(Table2[[#This Row],[Row]],Table1[Row],Table1[StartSide],0)</f>
        <v>R</v>
      </c>
      <c r="L601" t="str">
        <f t="shared" si="47"/>
        <v>R</v>
      </c>
      <c r="M601" t="str">
        <f t="shared" si="48"/>
        <v>PS2_E13_3_R</v>
      </c>
    </row>
    <row r="602" spans="1:13" x14ac:dyDescent="0.25">
      <c r="A602" t="s">
        <v>609</v>
      </c>
      <c r="B602" t="s">
        <v>769</v>
      </c>
      <c r="C602" t="s">
        <v>753</v>
      </c>
      <c r="D602">
        <v>4</v>
      </c>
      <c r="E602" t="s">
        <v>751</v>
      </c>
      <c r="F602" t="s">
        <v>780</v>
      </c>
      <c r="G602" t="str">
        <f t="shared" si="49"/>
        <v>E</v>
      </c>
      <c r="H602">
        <f>_xlfn.XLOOKUP(Table2[[#This Row],[Zone]],Table1[Row],Table1[Max Bay],_xleta.NA,0)</f>
        <v>14</v>
      </c>
      <c r="I602" s="1" t="str">
        <f t="shared" si="45"/>
        <v>13</v>
      </c>
      <c r="J602">
        <f t="shared" si="46"/>
        <v>4</v>
      </c>
      <c r="K602" t="str">
        <f>_xlfn.XLOOKUP(Table2[[#This Row],[Row]],Table1[Row],Table1[StartSide],0)</f>
        <v>R</v>
      </c>
      <c r="L602" t="str">
        <f t="shared" si="47"/>
        <v>L</v>
      </c>
      <c r="M602" t="str">
        <f t="shared" si="48"/>
        <v>PS2_E13_4_L</v>
      </c>
    </row>
    <row r="603" spans="1:13" x14ac:dyDescent="0.25">
      <c r="A603" t="s">
        <v>610</v>
      </c>
      <c r="B603" t="s">
        <v>769</v>
      </c>
      <c r="C603" t="s">
        <v>753</v>
      </c>
      <c r="D603">
        <v>4</v>
      </c>
      <c r="E603" t="s">
        <v>752</v>
      </c>
      <c r="F603" t="s">
        <v>780</v>
      </c>
      <c r="G603" t="str">
        <f t="shared" si="49"/>
        <v>E</v>
      </c>
      <c r="H603">
        <f>_xlfn.XLOOKUP(Table2[[#This Row],[Zone]],Table1[Row],Table1[Max Bay],_xleta.NA,0)</f>
        <v>14</v>
      </c>
      <c r="I603" s="1" t="str">
        <f t="shared" si="45"/>
        <v>13</v>
      </c>
      <c r="J603">
        <f t="shared" si="46"/>
        <v>4</v>
      </c>
      <c r="K603" t="str">
        <f>_xlfn.XLOOKUP(Table2[[#This Row],[Row]],Table1[Row],Table1[StartSide],0)</f>
        <v>R</v>
      </c>
      <c r="L603" t="str">
        <f t="shared" si="47"/>
        <v>R</v>
      </c>
      <c r="M603" t="str">
        <f t="shared" si="48"/>
        <v>PS2_E13_4_R</v>
      </c>
    </row>
    <row r="604" spans="1:13" x14ac:dyDescent="0.25">
      <c r="A604" t="s">
        <v>611</v>
      </c>
      <c r="B604" t="s">
        <v>769</v>
      </c>
      <c r="C604" t="s">
        <v>753</v>
      </c>
      <c r="D604">
        <v>5</v>
      </c>
      <c r="E604" t="s">
        <v>751</v>
      </c>
      <c r="F604" t="s">
        <v>780</v>
      </c>
      <c r="G604" t="str">
        <f t="shared" si="49"/>
        <v>E</v>
      </c>
      <c r="H604">
        <f>_xlfn.XLOOKUP(Table2[[#This Row],[Zone]],Table1[Row],Table1[Max Bay],_xleta.NA,0)</f>
        <v>14</v>
      </c>
      <c r="I604" s="1" t="str">
        <f t="shared" si="45"/>
        <v>13</v>
      </c>
      <c r="J604">
        <f t="shared" si="46"/>
        <v>5</v>
      </c>
      <c r="K604" t="str">
        <f>_xlfn.XLOOKUP(Table2[[#This Row],[Row]],Table1[Row],Table1[StartSide],0)</f>
        <v>R</v>
      </c>
      <c r="L604" t="str">
        <f t="shared" si="47"/>
        <v>L</v>
      </c>
      <c r="M604" t="str">
        <f t="shared" si="48"/>
        <v>PS2_E13_5_L</v>
      </c>
    </row>
    <row r="605" spans="1:13" x14ac:dyDescent="0.25">
      <c r="A605" t="s">
        <v>612</v>
      </c>
      <c r="B605" t="s">
        <v>769</v>
      </c>
      <c r="C605" t="s">
        <v>753</v>
      </c>
      <c r="D605">
        <v>5</v>
      </c>
      <c r="E605" t="s">
        <v>752</v>
      </c>
      <c r="F605" t="s">
        <v>780</v>
      </c>
      <c r="G605" t="str">
        <f t="shared" si="49"/>
        <v>E</v>
      </c>
      <c r="H605">
        <f>_xlfn.XLOOKUP(Table2[[#This Row],[Zone]],Table1[Row],Table1[Max Bay],_xleta.NA,0)</f>
        <v>14</v>
      </c>
      <c r="I605" s="1" t="str">
        <f t="shared" si="45"/>
        <v>13</v>
      </c>
      <c r="J605">
        <f t="shared" si="46"/>
        <v>5</v>
      </c>
      <c r="K605" t="str">
        <f>_xlfn.XLOOKUP(Table2[[#This Row],[Row]],Table1[Row],Table1[StartSide],0)</f>
        <v>R</v>
      </c>
      <c r="L605" t="str">
        <f t="shared" si="47"/>
        <v>R</v>
      </c>
      <c r="M605" t="str">
        <f t="shared" si="48"/>
        <v>PS2_E13_5_R</v>
      </c>
    </row>
    <row r="606" spans="1:13" x14ac:dyDescent="0.25">
      <c r="A606" t="s">
        <v>613</v>
      </c>
      <c r="B606" t="s">
        <v>769</v>
      </c>
      <c r="C606" t="s">
        <v>753</v>
      </c>
      <c r="D606">
        <v>6</v>
      </c>
      <c r="E606" t="s">
        <v>751</v>
      </c>
      <c r="F606" t="s">
        <v>780</v>
      </c>
      <c r="G606" t="str">
        <f t="shared" si="49"/>
        <v>E</v>
      </c>
      <c r="H606">
        <f>_xlfn.XLOOKUP(Table2[[#This Row],[Zone]],Table1[Row],Table1[Max Bay],_xleta.NA,0)</f>
        <v>14</v>
      </c>
      <c r="I606" s="1" t="str">
        <f t="shared" si="45"/>
        <v>13</v>
      </c>
      <c r="J606">
        <f t="shared" si="46"/>
        <v>6</v>
      </c>
      <c r="K606" t="str">
        <f>_xlfn.XLOOKUP(Table2[[#This Row],[Row]],Table1[Row],Table1[StartSide],0)</f>
        <v>R</v>
      </c>
      <c r="L606" t="str">
        <f t="shared" si="47"/>
        <v>L</v>
      </c>
      <c r="M606" t="str">
        <f t="shared" si="48"/>
        <v>PS2_E13_6_L</v>
      </c>
    </row>
    <row r="607" spans="1:13" x14ac:dyDescent="0.25">
      <c r="A607" t="s">
        <v>614</v>
      </c>
      <c r="B607" t="s">
        <v>769</v>
      </c>
      <c r="C607" t="s">
        <v>753</v>
      </c>
      <c r="D607">
        <v>6</v>
      </c>
      <c r="E607" t="s">
        <v>752</v>
      </c>
      <c r="F607" t="s">
        <v>780</v>
      </c>
      <c r="G607" t="str">
        <f t="shared" si="49"/>
        <v>E</v>
      </c>
      <c r="H607">
        <f>_xlfn.XLOOKUP(Table2[[#This Row],[Zone]],Table1[Row],Table1[Max Bay],_xleta.NA,0)</f>
        <v>14</v>
      </c>
      <c r="I607" s="1" t="str">
        <f t="shared" si="45"/>
        <v>13</v>
      </c>
      <c r="J607">
        <f t="shared" si="46"/>
        <v>6</v>
      </c>
      <c r="K607" t="str">
        <f>_xlfn.XLOOKUP(Table2[[#This Row],[Row]],Table1[Row],Table1[StartSide],0)</f>
        <v>R</v>
      </c>
      <c r="L607" t="str">
        <f t="shared" si="47"/>
        <v>R</v>
      </c>
      <c r="M607" t="str">
        <f t="shared" si="48"/>
        <v>PS2_E13_6_R</v>
      </c>
    </row>
    <row r="608" spans="1:13" x14ac:dyDescent="0.25">
      <c r="A608" t="s">
        <v>615</v>
      </c>
      <c r="B608" t="s">
        <v>769</v>
      </c>
      <c r="C608" t="s">
        <v>754</v>
      </c>
      <c r="D608">
        <v>1</v>
      </c>
      <c r="E608" t="s">
        <v>751</v>
      </c>
      <c r="F608" t="s">
        <v>780</v>
      </c>
      <c r="G608" t="str">
        <f t="shared" si="49"/>
        <v>E</v>
      </c>
      <c r="H608">
        <f>_xlfn.XLOOKUP(Table2[[#This Row],[Zone]],Table1[Row],Table1[Max Bay],_xleta.NA,0)</f>
        <v>14</v>
      </c>
      <c r="I608" s="1" t="str">
        <f t="shared" si="45"/>
        <v>12</v>
      </c>
      <c r="J608">
        <f t="shared" si="46"/>
        <v>1</v>
      </c>
      <c r="K608" t="str">
        <f>_xlfn.XLOOKUP(Table2[[#This Row],[Row]],Table1[Row],Table1[StartSide],0)</f>
        <v>R</v>
      </c>
      <c r="L608" t="str">
        <f t="shared" si="47"/>
        <v>L</v>
      </c>
      <c r="M608" t="str">
        <f t="shared" si="48"/>
        <v>PS2_E12_1_L</v>
      </c>
    </row>
    <row r="609" spans="1:13" x14ac:dyDescent="0.25">
      <c r="A609" t="s">
        <v>616</v>
      </c>
      <c r="B609" t="s">
        <v>769</v>
      </c>
      <c r="C609" t="s">
        <v>754</v>
      </c>
      <c r="D609">
        <v>1</v>
      </c>
      <c r="E609" t="s">
        <v>752</v>
      </c>
      <c r="F609" t="s">
        <v>780</v>
      </c>
      <c r="G609" t="str">
        <f t="shared" si="49"/>
        <v>E</v>
      </c>
      <c r="H609">
        <f>_xlfn.XLOOKUP(Table2[[#This Row],[Zone]],Table1[Row],Table1[Max Bay],_xleta.NA,0)</f>
        <v>14</v>
      </c>
      <c r="I609" s="1" t="str">
        <f t="shared" si="45"/>
        <v>12</v>
      </c>
      <c r="J609">
        <f t="shared" si="46"/>
        <v>1</v>
      </c>
      <c r="K609" t="str">
        <f>_xlfn.XLOOKUP(Table2[[#This Row],[Row]],Table1[Row],Table1[StartSide],0)</f>
        <v>R</v>
      </c>
      <c r="L609" t="str">
        <f t="shared" si="47"/>
        <v>R</v>
      </c>
      <c r="M609" t="str">
        <f t="shared" si="48"/>
        <v>PS2_E12_1_R</v>
      </c>
    </row>
    <row r="610" spans="1:13" x14ac:dyDescent="0.25">
      <c r="A610" t="s">
        <v>617</v>
      </c>
      <c r="B610" t="s">
        <v>769</v>
      </c>
      <c r="C610" t="s">
        <v>754</v>
      </c>
      <c r="D610">
        <v>2</v>
      </c>
      <c r="E610" t="s">
        <v>751</v>
      </c>
      <c r="F610" t="s">
        <v>780</v>
      </c>
      <c r="G610" t="str">
        <f t="shared" si="49"/>
        <v>E</v>
      </c>
      <c r="H610">
        <f>_xlfn.XLOOKUP(Table2[[#This Row],[Zone]],Table1[Row],Table1[Max Bay],_xleta.NA,0)</f>
        <v>14</v>
      </c>
      <c r="I610" s="1" t="str">
        <f t="shared" si="45"/>
        <v>12</v>
      </c>
      <c r="J610">
        <f t="shared" si="46"/>
        <v>2</v>
      </c>
      <c r="K610" t="str">
        <f>_xlfn.XLOOKUP(Table2[[#This Row],[Row]],Table1[Row],Table1[StartSide],0)</f>
        <v>R</v>
      </c>
      <c r="L610" t="str">
        <f t="shared" si="47"/>
        <v>L</v>
      </c>
      <c r="M610" t="str">
        <f t="shared" si="48"/>
        <v>PS2_E12_2_L</v>
      </c>
    </row>
    <row r="611" spans="1:13" x14ac:dyDescent="0.25">
      <c r="A611" t="s">
        <v>618</v>
      </c>
      <c r="B611" t="s">
        <v>769</v>
      </c>
      <c r="C611" t="s">
        <v>754</v>
      </c>
      <c r="D611">
        <v>2</v>
      </c>
      <c r="E611" t="s">
        <v>752</v>
      </c>
      <c r="F611" t="s">
        <v>780</v>
      </c>
      <c r="G611" t="str">
        <f t="shared" si="49"/>
        <v>E</v>
      </c>
      <c r="H611">
        <f>_xlfn.XLOOKUP(Table2[[#This Row],[Zone]],Table1[Row],Table1[Max Bay],_xleta.NA,0)</f>
        <v>14</v>
      </c>
      <c r="I611" s="1" t="str">
        <f t="shared" si="45"/>
        <v>12</v>
      </c>
      <c r="J611">
        <f t="shared" si="46"/>
        <v>2</v>
      </c>
      <c r="K611" t="str">
        <f>_xlfn.XLOOKUP(Table2[[#This Row],[Row]],Table1[Row],Table1[StartSide],0)</f>
        <v>R</v>
      </c>
      <c r="L611" t="str">
        <f t="shared" si="47"/>
        <v>R</v>
      </c>
      <c r="M611" t="str">
        <f t="shared" si="48"/>
        <v>PS2_E12_2_R</v>
      </c>
    </row>
    <row r="612" spans="1:13" x14ac:dyDescent="0.25">
      <c r="A612" t="s">
        <v>619</v>
      </c>
      <c r="B612" t="s">
        <v>769</v>
      </c>
      <c r="C612" t="s">
        <v>754</v>
      </c>
      <c r="D612">
        <v>3</v>
      </c>
      <c r="E612" t="s">
        <v>751</v>
      </c>
      <c r="F612" t="s">
        <v>780</v>
      </c>
      <c r="G612" t="str">
        <f t="shared" si="49"/>
        <v>E</v>
      </c>
      <c r="H612">
        <f>_xlfn.XLOOKUP(Table2[[#This Row],[Zone]],Table1[Row],Table1[Max Bay],_xleta.NA,0)</f>
        <v>14</v>
      </c>
      <c r="I612" s="1" t="str">
        <f t="shared" si="45"/>
        <v>12</v>
      </c>
      <c r="J612">
        <f t="shared" si="46"/>
        <v>3</v>
      </c>
      <c r="K612" t="str">
        <f>_xlfn.XLOOKUP(Table2[[#This Row],[Row]],Table1[Row],Table1[StartSide],0)</f>
        <v>R</v>
      </c>
      <c r="L612" t="str">
        <f t="shared" si="47"/>
        <v>L</v>
      </c>
      <c r="M612" t="str">
        <f t="shared" si="48"/>
        <v>PS2_E12_3_L</v>
      </c>
    </row>
    <row r="613" spans="1:13" x14ac:dyDescent="0.25">
      <c r="A613" t="s">
        <v>620</v>
      </c>
      <c r="B613" t="s">
        <v>769</v>
      </c>
      <c r="C613" t="s">
        <v>754</v>
      </c>
      <c r="D613">
        <v>3</v>
      </c>
      <c r="E613" t="s">
        <v>752</v>
      </c>
      <c r="F613" t="s">
        <v>780</v>
      </c>
      <c r="G613" t="str">
        <f t="shared" si="49"/>
        <v>E</v>
      </c>
      <c r="H613">
        <f>_xlfn.XLOOKUP(Table2[[#This Row],[Zone]],Table1[Row],Table1[Max Bay],_xleta.NA,0)</f>
        <v>14</v>
      </c>
      <c r="I613" s="1" t="str">
        <f t="shared" si="45"/>
        <v>12</v>
      </c>
      <c r="J613">
        <f t="shared" si="46"/>
        <v>3</v>
      </c>
      <c r="K613" t="str">
        <f>_xlfn.XLOOKUP(Table2[[#This Row],[Row]],Table1[Row],Table1[StartSide],0)</f>
        <v>R</v>
      </c>
      <c r="L613" t="str">
        <f t="shared" si="47"/>
        <v>R</v>
      </c>
      <c r="M613" t="str">
        <f t="shared" si="48"/>
        <v>PS2_E12_3_R</v>
      </c>
    </row>
    <row r="614" spans="1:13" x14ac:dyDescent="0.25">
      <c r="A614" t="s">
        <v>621</v>
      </c>
      <c r="B614" t="s">
        <v>769</v>
      </c>
      <c r="C614" t="s">
        <v>754</v>
      </c>
      <c r="D614">
        <v>4</v>
      </c>
      <c r="E614" t="s">
        <v>751</v>
      </c>
      <c r="F614" t="s">
        <v>780</v>
      </c>
      <c r="G614" t="str">
        <f t="shared" si="49"/>
        <v>E</v>
      </c>
      <c r="H614">
        <f>_xlfn.XLOOKUP(Table2[[#This Row],[Zone]],Table1[Row],Table1[Max Bay],_xleta.NA,0)</f>
        <v>14</v>
      </c>
      <c r="I614" s="1" t="str">
        <f t="shared" si="45"/>
        <v>12</v>
      </c>
      <c r="J614">
        <f t="shared" si="46"/>
        <v>4</v>
      </c>
      <c r="K614" t="str">
        <f>_xlfn.XLOOKUP(Table2[[#This Row],[Row]],Table1[Row],Table1[StartSide],0)</f>
        <v>R</v>
      </c>
      <c r="L614" t="str">
        <f t="shared" si="47"/>
        <v>L</v>
      </c>
      <c r="M614" t="str">
        <f t="shared" si="48"/>
        <v>PS2_E12_4_L</v>
      </c>
    </row>
    <row r="615" spans="1:13" x14ac:dyDescent="0.25">
      <c r="A615" t="s">
        <v>622</v>
      </c>
      <c r="B615" t="s">
        <v>769</v>
      </c>
      <c r="C615" t="s">
        <v>754</v>
      </c>
      <c r="D615">
        <v>4</v>
      </c>
      <c r="E615" t="s">
        <v>752</v>
      </c>
      <c r="F615" t="s">
        <v>780</v>
      </c>
      <c r="G615" t="str">
        <f t="shared" si="49"/>
        <v>E</v>
      </c>
      <c r="H615">
        <f>_xlfn.XLOOKUP(Table2[[#This Row],[Zone]],Table1[Row],Table1[Max Bay],_xleta.NA,0)</f>
        <v>14</v>
      </c>
      <c r="I615" s="1" t="str">
        <f t="shared" si="45"/>
        <v>12</v>
      </c>
      <c r="J615">
        <f t="shared" si="46"/>
        <v>4</v>
      </c>
      <c r="K615" t="str">
        <f>_xlfn.XLOOKUP(Table2[[#This Row],[Row]],Table1[Row],Table1[StartSide],0)</f>
        <v>R</v>
      </c>
      <c r="L615" t="str">
        <f t="shared" si="47"/>
        <v>R</v>
      </c>
      <c r="M615" t="str">
        <f t="shared" si="48"/>
        <v>PS2_E12_4_R</v>
      </c>
    </row>
    <row r="616" spans="1:13" x14ac:dyDescent="0.25">
      <c r="A616" t="s">
        <v>623</v>
      </c>
      <c r="B616" t="s">
        <v>769</v>
      </c>
      <c r="C616" t="s">
        <v>754</v>
      </c>
      <c r="D616">
        <v>5</v>
      </c>
      <c r="E616" t="s">
        <v>751</v>
      </c>
      <c r="F616" t="s">
        <v>780</v>
      </c>
      <c r="G616" t="str">
        <f t="shared" si="49"/>
        <v>E</v>
      </c>
      <c r="H616">
        <f>_xlfn.XLOOKUP(Table2[[#This Row],[Zone]],Table1[Row],Table1[Max Bay],_xleta.NA,0)</f>
        <v>14</v>
      </c>
      <c r="I616" s="1" t="str">
        <f t="shared" si="45"/>
        <v>12</v>
      </c>
      <c r="J616">
        <f t="shared" si="46"/>
        <v>5</v>
      </c>
      <c r="K616" t="str">
        <f>_xlfn.XLOOKUP(Table2[[#This Row],[Row]],Table1[Row],Table1[StartSide],0)</f>
        <v>R</v>
      </c>
      <c r="L616" t="str">
        <f t="shared" si="47"/>
        <v>L</v>
      </c>
      <c r="M616" t="str">
        <f t="shared" si="48"/>
        <v>PS2_E12_5_L</v>
      </c>
    </row>
    <row r="617" spans="1:13" x14ac:dyDescent="0.25">
      <c r="A617" t="s">
        <v>624</v>
      </c>
      <c r="B617" t="s">
        <v>769</v>
      </c>
      <c r="C617" t="s">
        <v>754</v>
      </c>
      <c r="D617">
        <v>5</v>
      </c>
      <c r="E617" t="s">
        <v>752</v>
      </c>
      <c r="F617" t="s">
        <v>780</v>
      </c>
      <c r="G617" t="str">
        <f t="shared" si="49"/>
        <v>E</v>
      </c>
      <c r="H617">
        <f>_xlfn.XLOOKUP(Table2[[#This Row],[Zone]],Table1[Row],Table1[Max Bay],_xleta.NA,0)</f>
        <v>14</v>
      </c>
      <c r="I617" s="1" t="str">
        <f t="shared" si="45"/>
        <v>12</v>
      </c>
      <c r="J617">
        <f t="shared" si="46"/>
        <v>5</v>
      </c>
      <c r="K617" t="str">
        <f>_xlfn.XLOOKUP(Table2[[#This Row],[Row]],Table1[Row],Table1[StartSide],0)</f>
        <v>R</v>
      </c>
      <c r="L617" t="str">
        <f t="shared" si="47"/>
        <v>R</v>
      </c>
      <c r="M617" t="str">
        <f t="shared" si="48"/>
        <v>PS2_E12_5_R</v>
      </c>
    </row>
    <row r="618" spans="1:13" x14ac:dyDescent="0.25">
      <c r="A618" t="s">
        <v>625</v>
      </c>
      <c r="B618" t="s">
        <v>769</v>
      </c>
      <c r="C618" t="s">
        <v>754</v>
      </c>
      <c r="D618">
        <v>6</v>
      </c>
      <c r="E618" t="s">
        <v>751</v>
      </c>
      <c r="F618" t="s">
        <v>780</v>
      </c>
      <c r="G618" t="str">
        <f t="shared" si="49"/>
        <v>E</v>
      </c>
      <c r="H618">
        <f>_xlfn.XLOOKUP(Table2[[#This Row],[Zone]],Table1[Row],Table1[Max Bay],_xleta.NA,0)</f>
        <v>14</v>
      </c>
      <c r="I618" s="1" t="str">
        <f t="shared" si="45"/>
        <v>12</v>
      </c>
      <c r="J618">
        <f t="shared" si="46"/>
        <v>6</v>
      </c>
      <c r="K618" t="str">
        <f>_xlfn.XLOOKUP(Table2[[#This Row],[Row]],Table1[Row],Table1[StartSide],0)</f>
        <v>R</v>
      </c>
      <c r="L618" t="str">
        <f t="shared" si="47"/>
        <v>L</v>
      </c>
      <c r="M618" t="str">
        <f t="shared" si="48"/>
        <v>PS2_E12_6_L</v>
      </c>
    </row>
    <row r="619" spans="1:13" x14ac:dyDescent="0.25">
      <c r="A619" t="s">
        <v>626</v>
      </c>
      <c r="B619" t="s">
        <v>769</v>
      </c>
      <c r="C619" t="s">
        <v>754</v>
      </c>
      <c r="D619">
        <v>6</v>
      </c>
      <c r="E619" t="s">
        <v>752</v>
      </c>
      <c r="F619" t="s">
        <v>780</v>
      </c>
      <c r="G619" t="str">
        <f t="shared" si="49"/>
        <v>E</v>
      </c>
      <c r="H619">
        <f>_xlfn.XLOOKUP(Table2[[#This Row],[Zone]],Table1[Row],Table1[Max Bay],_xleta.NA,0)</f>
        <v>14</v>
      </c>
      <c r="I619" s="1" t="str">
        <f t="shared" si="45"/>
        <v>12</v>
      </c>
      <c r="J619">
        <f t="shared" si="46"/>
        <v>6</v>
      </c>
      <c r="K619" t="str">
        <f>_xlfn.XLOOKUP(Table2[[#This Row],[Row]],Table1[Row],Table1[StartSide],0)</f>
        <v>R</v>
      </c>
      <c r="L619" t="str">
        <f t="shared" si="47"/>
        <v>R</v>
      </c>
      <c r="M619" t="str">
        <f t="shared" si="48"/>
        <v>PS2_E12_6_R</v>
      </c>
    </row>
    <row r="620" spans="1:13" x14ac:dyDescent="0.25">
      <c r="A620" t="s">
        <v>627</v>
      </c>
      <c r="B620" t="s">
        <v>769</v>
      </c>
      <c r="C620" t="s">
        <v>755</v>
      </c>
      <c r="D620">
        <v>1</v>
      </c>
      <c r="E620" t="s">
        <v>751</v>
      </c>
      <c r="F620" t="s">
        <v>780</v>
      </c>
      <c r="G620" t="str">
        <f t="shared" si="49"/>
        <v>E</v>
      </c>
      <c r="H620">
        <f>_xlfn.XLOOKUP(Table2[[#This Row],[Zone]],Table1[Row],Table1[Max Bay],_xleta.NA,0)</f>
        <v>14</v>
      </c>
      <c r="I620" s="1" t="str">
        <f t="shared" si="45"/>
        <v>11</v>
      </c>
      <c r="J620">
        <f t="shared" si="46"/>
        <v>1</v>
      </c>
      <c r="K620" t="str">
        <f>_xlfn.XLOOKUP(Table2[[#This Row],[Row]],Table1[Row],Table1[StartSide],0)</f>
        <v>R</v>
      </c>
      <c r="L620" t="str">
        <f t="shared" si="47"/>
        <v>L</v>
      </c>
      <c r="M620" t="str">
        <f t="shared" si="48"/>
        <v>PS2_E11_1_L</v>
      </c>
    </row>
    <row r="621" spans="1:13" x14ac:dyDescent="0.25">
      <c r="A621" t="s">
        <v>628</v>
      </c>
      <c r="B621" t="s">
        <v>769</v>
      </c>
      <c r="C621" t="s">
        <v>755</v>
      </c>
      <c r="D621">
        <v>1</v>
      </c>
      <c r="E621" t="s">
        <v>752</v>
      </c>
      <c r="F621" t="s">
        <v>780</v>
      </c>
      <c r="G621" t="str">
        <f t="shared" si="49"/>
        <v>E</v>
      </c>
      <c r="H621">
        <f>_xlfn.XLOOKUP(Table2[[#This Row],[Zone]],Table1[Row],Table1[Max Bay],_xleta.NA,0)</f>
        <v>14</v>
      </c>
      <c r="I621" s="1" t="str">
        <f t="shared" si="45"/>
        <v>11</v>
      </c>
      <c r="J621">
        <f t="shared" si="46"/>
        <v>1</v>
      </c>
      <c r="K621" t="str">
        <f>_xlfn.XLOOKUP(Table2[[#This Row],[Row]],Table1[Row],Table1[StartSide],0)</f>
        <v>R</v>
      </c>
      <c r="L621" t="str">
        <f t="shared" si="47"/>
        <v>R</v>
      </c>
      <c r="M621" t="str">
        <f t="shared" si="48"/>
        <v>PS2_E11_1_R</v>
      </c>
    </row>
    <row r="622" spans="1:13" x14ac:dyDescent="0.25">
      <c r="A622" t="s">
        <v>629</v>
      </c>
      <c r="B622" t="s">
        <v>769</v>
      </c>
      <c r="C622" t="s">
        <v>755</v>
      </c>
      <c r="D622">
        <v>2</v>
      </c>
      <c r="E622" t="s">
        <v>751</v>
      </c>
      <c r="F622" t="s">
        <v>780</v>
      </c>
      <c r="G622" t="str">
        <f t="shared" si="49"/>
        <v>E</v>
      </c>
      <c r="H622">
        <f>_xlfn.XLOOKUP(Table2[[#This Row],[Zone]],Table1[Row],Table1[Max Bay],_xleta.NA,0)</f>
        <v>14</v>
      </c>
      <c r="I622" s="1" t="str">
        <f t="shared" si="45"/>
        <v>11</v>
      </c>
      <c r="J622">
        <f t="shared" si="46"/>
        <v>2</v>
      </c>
      <c r="K622" t="str">
        <f>_xlfn.XLOOKUP(Table2[[#This Row],[Row]],Table1[Row],Table1[StartSide],0)</f>
        <v>R</v>
      </c>
      <c r="L622" t="str">
        <f t="shared" si="47"/>
        <v>L</v>
      </c>
      <c r="M622" t="str">
        <f t="shared" si="48"/>
        <v>PS2_E11_2_L</v>
      </c>
    </row>
    <row r="623" spans="1:13" x14ac:dyDescent="0.25">
      <c r="A623" t="s">
        <v>630</v>
      </c>
      <c r="B623" t="s">
        <v>769</v>
      </c>
      <c r="C623" t="s">
        <v>755</v>
      </c>
      <c r="D623">
        <v>2</v>
      </c>
      <c r="E623" t="s">
        <v>752</v>
      </c>
      <c r="F623" t="s">
        <v>780</v>
      </c>
      <c r="G623" t="str">
        <f t="shared" si="49"/>
        <v>E</v>
      </c>
      <c r="H623">
        <f>_xlfn.XLOOKUP(Table2[[#This Row],[Zone]],Table1[Row],Table1[Max Bay],_xleta.NA,0)</f>
        <v>14</v>
      </c>
      <c r="I623" s="1" t="str">
        <f t="shared" si="45"/>
        <v>11</v>
      </c>
      <c r="J623">
        <f t="shared" si="46"/>
        <v>2</v>
      </c>
      <c r="K623" t="str">
        <f>_xlfn.XLOOKUP(Table2[[#This Row],[Row]],Table1[Row],Table1[StartSide],0)</f>
        <v>R</v>
      </c>
      <c r="L623" t="str">
        <f t="shared" si="47"/>
        <v>R</v>
      </c>
      <c r="M623" t="str">
        <f t="shared" si="48"/>
        <v>PS2_E11_2_R</v>
      </c>
    </row>
    <row r="624" spans="1:13" x14ac:dyDescent="0.25">
      <c r="A624" t="s">
        <v>631</v>
      </c>
      <c r="B624" t="s">
        <v>769</v>
      </c>
      <c r="C624" t="s">
        <v>755</v>
      </c>
      <c r="D624">
        <v>3</v>
      </c>
      <c r="E624" t="s">
        <v>751</v>
      </c>
      <c r="F624" t="s">
        <v>780</v>
      </c>
      <c r="G624" t="str">
        <f t="shared" si="49"/>
        <v>E</v>
      </c>
      <c r="H624">
        <f>_xlfn.XLOOKUP(Table2[[#This Row],[Zone]],Table1[Row],Table1[Max Bay],_xleta.NA,0)</f>
        <v>14</v>
      </c>
      <c r="I624" s="1" t="str">
        <f t="shared" si="45"/>
        <v>11</v>
      </c>
      <c r="J624">
        <f t="shared" si="46"/>
        <v>3</v>
      </c>
      <c r="K624" t="str">
        <f>_xlfn.XLOOKUP(Table2[[#This Row],[Row]],Table1[Row],Table1[StartSide],0)</f>
        <v>R</v>
      </c>
      <c r="L624" t="str">
        <f t="shared" si="47"/>
        <v>L</v>
      </c>
      <c r="M624" t="str">
        <f t="shared" si="48"/>
        <v>PS2_E11_3_L</v>
      </c>
    </row>
    <row r="625" spans="1:13" x14ac:dyDescent="0.25">
      <c r="A625" t="s">
        <v>632</v>
      </c>
      <c r="B625" t="s">
        <v>769</v>
      </c>
      <c r="C625" t="s">
        <v>755</v>
      </c>
      <c r="D625">
        <v>3</v>
      </c>
      <c r="E625" t="s">
        <v>752</v>
      </c>
      <c r="F625" t="s">
        <v>780</v>
      </c>
      <c r="G625" t="str">
        <f t="shared" si="49"/>
        <v>E</v>
      </c>
      <c r="H625">
        <f>_xlfn.XLOOKUP(Table2[[#This Row],[Zone]],Table1[Row],Table1[Max Bay],_xleta.NA,0)</f>
        <v>14</v>
      </c>
      <c r="I625" s="1" t="str">
        <f t="shared" si="45"/>
        <v>11</v>
      </c>
      <c r="J625">
        <f t="shared" si="46"/>
        <v>3</v>
      </c>
      <c r="K625" t="str">
        <f>_xlfn.XLOOKUP(Table2[[#This Row],[Row]],Table1[Row],Table1[StartSide],0)</f>
        <v>R</v>
      </c>
      <c r="L625" t="str">
        <f t="shared" si="47"/>
        <v>R</v>
      </c>
      <c r="M625" t="str">
        <f t="shared" si="48"/>
        <v>PS2_E11_3_R</v>
      </c>
    </row>
    <row r="626" spans="1:13" x14ac:dyDescent="0.25">
      <c r="A626" t="s">
        <v>633</v>
      </c>
      <c r="B626" t="s">
        <v>769</v>
      </c>
      <c r="C626" t="s">
        <v>755</v>
      </c>
      <c r="D626">
        <v>4</v>
      </c>
      <c r="E626" t="s">
        <v>751</v>
      </c>
      <c r="F626" t="s">
        <v>780</v>
      </c>
      <c r="G626" t="str">
        <f t="shared" si="49"/>
        <v>E</v>
      </c>
      <c r="H626">
        <f>_xlfn.XLOOKUP(Table2[[#This Row],[Zone]],Table1[Row],Table1[Max Bay],_xleta.NA,0)</f>
        <v>14</v>
      </c>
      <c r="I626" s="1" t="str">
        <f t="shared" si="45"/>
        <v>11</v>
      </c>
      <c r="J626">
        <f t="shared" si="46"/>
        <v>4</v>
      </c>
      <c r="K626" t="str">
        <f>_xlfn.XLOOKUP(Table2[[#This Row],[Row]],Table1[Row],Table1[StartSide],0)</f>
        <v>R</v>
      </c>
      <c r="L626" t="str">
        <f t="shared" si="47"/>
        <v>L</v>
      </c>
      <c r="M626" t="str">
        <f t="shared" si="48"/>
        <v>PS2_E11_4_L</v>
      </c>
    </row>
    <row r="627" spans="1:13" x14ac:dyDescent="0.25">
      <c r="A627" t="s">
        <v>634</v>
      </c>
      <c r="B627" t="s">
        <v>769</v>
      </c>
      <c r="C627" t="s">
        <v>755</v>
      </c>
      <c r="D627">
        <v>4</v>
      </c>
      <c r="E627" t="s">
        <v>752</v>
      </c>
      <c r="F627" t="s">
        <v>780</v>
      </c>
      <c r="G627" t="str">
        <f t="shared" si="49"/>
        <v>E</v>
      </c>
      <c r="H627">
        <f>_xlfn.XLOOKUP(Table2[[#This Row],[Zone]],Table1[Row],Table1[Max Bay],_xleta.NA,0)</f>
        <v>14</v>
      </c>
      <c r="I627" s="1" t="str">
        <f t="shared" si="45"/>
        <v>11</v>
      </c>
      <c r="J627">
        <f t="shared" si="46"/>
        <v>4</v>
      </c>
      <c r="K627" t="str">
        <f>_xlfn.XLOOKUP(Table2[[#This Row],[Row]],Table1[Row],Table1[StartSide],0)</f>
        <v>R</v>
      </c>
      <c r="L627" t="str">
        <f t="shared" si="47"/>
        <v>R</v>
      </c>
      <c r="M627" t="str">
        <f t="shared" si="48"/>
        <v>PS2_E11_4_R</v>
      </c>
    </row>
    <row r="628" spans="1:13" x14ac:dyDescent="0.25">
      <c r="A628" t="s">
        <v>635</v>
      </c>
      <c r="B628" t="s">
        <v>769</v>
      </c>
      <c r="C628" t="s">
        <v>755</v>
      </c>
      <c r="D628">
        <v>5</v>
      </c>
      <c r="E628" t="s">
        <v>751</v>
      </c>
      <c r="F628" t="s">
        <v>780</v>
      </c>
      <c r="G628" t="str">
        <f t="shared" si="49"/>
        <v>E</v>
      </c>
      <c r="H628">
        <f>_xlfn.XLOOKUP(Table2[[#This Row],[Zone]],Table1[Row],Table1[Max Bay],_xleta.NA,0)</f>
        <v>14</v>
      </c>
      <c r="I628" s="1" t="str">
        <f t="shared" si="45"/>
        <v>11</v>
      </c>
      <c r="J628">
        <f t="shared" si="46"/>
        <v>5</v>
      </c>
      <c r="K628" t="str">
        <f>_xlfn.XLOOKUP(Table2[[#This Row],[Row]],Table1[Row],Table1[StartSide],0)</f>
        <v>R</v>
      </c>
      <c r="L628" t="str">
        <f t="shared" si="47"/>
        <v>L</v>
      </c>
      <c r="M628" t="str">
        <f t="shared" si="48"/>
        <v>PS2_E11_5_L</v>
      </c>
    </row>
    <row r="629" spans="1:13" x14ac:dyDescent="0.25">
      <c r="A629" t="s">
        <v>636</v>
      </c>
      <c r="B629" t="s">
        <v>769</v>
      </c>
      <c r="C629" t="s">
        <v>755</v>
      </c>
      <c r="D629">
        <v>5</v>
      </c>
      <c r="E629" t="s">
        <v>752</v>
      </c>
      <c r="F629" t="s">
        <v>780</v>
      </c>
      <c r="G629" t="str">
        <f t="shared" si="49"/>
        <v>E</v>
      </c>
      <c r="H629">
        <f>_xlfn.XLOOKUP(Table2[[#This Row],[Zone]],Table1[Row],Table1[Max Bay],_xleta.NA,0)</f>
        <v>14</v>
      </c>
      <c r="I629" s="1" t="str">
        <f t="shared" si="45"/>
        <v>11</v>
      </c>
      <c r="J629">
        <f t="shared" si="46"/>
        <v>5</v>
      </c>
      <c r="K629" t="str">
        <f>_xlfn.XLOOKUP(Table2[[#This Row],[Row]],Table1[Row],Table1[StartSide],0)</f>
        <v>R</v>
      </c>
      <c r="L629" t="str">
        <f t="shared" si="47"/>
        <v>R</v>
      </c>
      <c r="M629" t="str">
        <f t="shared" si="48"/>
        <v>PS2_E11_5_R</v>
      </c>
    </row>
    <row r="630" spans="1:13" x14ac:dyDescent="0.25">
      <c r="A630" t="s">
        <v>637</v>
      </c>
      <c r="B630" t="s">
        <v>769</v>
      </c>
      <c r="C630" t="s">
        <v>755</v>
      </c>
      <c r="D630">
        <v>6</v>
      </c>
      <c r="E630" t="s">
        <v>751</v>
      </c>
      <c r="F630" t="s">
        <v>780</v>
      </c>
      <c r="G630" t="str">
        <f t="shared" si="49"/>
        <v>E</v>
      </c>
      <c r="H630">
        <f>_xlfn.XLOOKUP(Table2[[#This Row],[Zone]],Table1[Row],Table1[Max Bay],_xleta.NA,0)</f>
        <v>14</v>
      </c>
      <c r="I630" s="1" t="str">
        <f t="shared" si="45"/>
        <v>11</v>
      </c>
      <c r="J630">
        <f t="shared" si="46"/>
        <v>6</v>
      </c>
      <c r="K630" t="str">
        <f>_xlfn.XLOOKUP(Table2[[#This Row],[Row]],Table1[Row],Table1[StartSide],0)</f>
        <v>R</v>
      </c>
      <c r="L630" t="str">
        <f t="shared" si="47"/>
        <v>L</v>
      </c>
      <c r="M630" t="str">
        <f t="shared" si="48"/>
        <v>PS2_E11_6_L</v>
      </c>
    </row>
    <row r="631" spans="1:13" x14ac:dyDescent="0.25">
      <c r="A631" t="s">
        <v>638</v>
      </c>
      <c r="B631" t="s">
        <v>769</v>
      </c>
      <c r="C631" t="s">
        <v>756</v>
      </c>
      <c r="D631">
        <v>1</v>
      </c>
      <c r="E631" t="s">
        <v>751</v>
      </c>
      <c r="F631" t="s">
        <v>780</v>
      </c>
      <c r="G631" t="str">
        <f t="shared" si="49"/>
        <v>E</v>
      </c>
      <c r="H631">
        <f>_xlfn.XLOOKUP(Table2[[#This Row],[Zone]],Table1[Row],Table1[Max Bay],_xleta.NA,0)</f>
        <v>14</v>
      </c>
      <c r="I631" s="1" t="str">
        <f t="shared" si="45"/>
        <v>10</v>
      </c>
      <c r="J631">
        <f t="shared" si="46"/>
        <v>1</v>
      </c>
      <c r="K631" t="str">
        <f>_xlfn.XLOOKUP(Table2[[#This Row],[Row]],Table1[Row],Table1[StartSide],0)</f>
        <v>R</v>
      </c>
      <c r="L631" t="str">
        <f t="shared" si="47"/>
        <v>L</v>
      </c>
      <c r="M631" t="str">
        <f t="shared" si="48"/>
        <v>PS2_E10_1_L</v>
      </c>
    </row>
    <row r="632" spans="1:13" x14ac:dyDescent="0.25">
      <c r="A632" t="s">
        <v>639</v>
      </c>
      <c r="B632" t="s">
        <v>769</v>
      </c>
      <c r="C632" t="s">
        <v>756</v>
      </c>
      <c r="D632">
        <v>1</v>
      </c>
      <c r="E632" t="s">
        <v>752</v>
      </c>
      <c r="F632" t="s">
        <v>780</v>
      </c>
      <c r="G632" t="str">
        <f t="shared" si="49"/>
        <v>E</v>
      </c>
      <c r="H632">
        <f>_xlfn.XLOOKUP(Table2[[#This Row],[Zone]],Table1[Row],Table1[Max Bay],_xleta.NA,0)</f>
        <v>14</v>
      </c>
      <c r="I632" s="1" t="str">
        <f t="shared" si="45"/>
        <v>10</v>
      </c>
      <c r="J632">
        <f t="shared" si="46"/>
        <v>1</v>
      </c>
      <c r="K632" t="str">
        <f>_xlfn.XLOOKUP(Table2[[#This Row],[Row]],Table1[Row],Table1[StartSide],0)</f>
        <v>R</v>
      </c>
      <c r="L632" t="str">
        <f t="shared" si="47"/>
        <v>R</v>
      </c>
      <c r="M632" t="str">
        <f t="shared" si="48"/>
        <v>PS2_E10_1_R</v>
      </c>
    </row>
    <row r="633" spans="1:13" x14ac:dyDescent="0.25">
      <c r="A633" t="s">
        <v>640</v>
      </c>
      <c r="B633" t="s">
        <v>769</v>
      </c>
      <c r="C633" t="s">
        <v>756</v>
      </c>
      <c r="D633">
        <v>2</v>
      </c>
      <c r="E633" t="s">
        <v>751</v>
      </c>
      <c r="F633" t="s">
        <v>780</v>
      </c>
      <c r="G633" t="str">
        <f t="shared" si="49"/>
        <v>E</v>
      </c>
      <c r="H633">
        <f>_xlfn.XLOOKUP(Table2[[#This Row],[Zone]],Table1[Row],Table1[Max Bay],_xleta.NA,0)</f>
        <v>14</v>
      </c>
      <c r="I633" s="1" t="str">
        <f t="shared" si="45"/>
        <v>10</v>
      </c>
      <c r="J633">
        <f t="shared" si="46"/>
        <v>2</v>
      </c>
      <c r="K633" t="str">
        <f>_xlfn.XLOOKUP(Table2[[#This Row],[Row]],Table1[Row],Table1[StartSide],0)</f>
        <v>R</v>
      </c>
      <c r="L633" t="str">
        <f t="shared" si="47"/>
        <v>L</v>
      </c>
      <c r="M633" t="str">
        <f t="shared" si="48"/>
        <v>PS2_E10_2_L</v>
      </c>
    </row>
    <row r="634" spans="1:13" x14ac:dyDescent="0.25">
      <c r="A634" t="s">
        <v>641</v>
      </c>
      <c r="B634" t="s">
        <v>769</v>
      </c>
      <c r="C634" t="s">
        <v>756</v>
      </c>
      <c r="D634">
        <v>2</v>
      </c>
      <c r="E634" t="s">
        <v>752</v>
      </c>
      <c r="F634" t="s">
        <v>780</v>
      </c>
      <c r="G634" t="str">
        <f t="shared" si="49"/>
        <v>E</v>
      </c>
      <c r="H634">
        <f>_xlfn.XLOOKUP(Table2[[#This Row],[Zone]],Table1[Row],Table1[Max Bay],_xleta.NA,0)</f>
        <v>14</v>
      </c>
      <c r="I634" s="1" t="str">
        <f t="shared" si="45"/>
        <v>10</v>
      </c>
      <c r="J634">
        <f t="shared" si="46"/>
        <v>2</v>
      </c>
      <c r="K634" t="str">
        <f>_xlfn.XLOOKUP(Table2[[#This Row],[Row]],Table1[Row],Table1[StartSide],0)</f>
        <v>R</v>
      </c>
      <c r="L634" t="str">
        <f t="shared" si="47"/>
        <v>R</v>
      </c>
      <c r="M634" t="str">
        <f t="shared" si="48"/>
        <v>PS2_E10_2_R</v>
      </c>
    </row>
    <row r="635" spans="1:13" x14ac:dyDescent="0.25">
      <c r="A635" t="s">
        <v>642</v>
      </c>
      <c r="B635" t="s">
        <v>769</v>
      </c>
      <c r="C635" t="s">
        <v>756</v>
      </c>
      <c r="D635">
        <v>3</v>
      </c>
      <c r="E635" t="s">
        <v>751</v>
      </c>
      <c r="F635" t="s">
        <v>780</v>
      </c>
      <c r="G635" t="str">
        <f t="shared" si="49"/>
        <v>E</v>
      </c>
      <c r="H635">
        <f>_xlfn.XLOOKUP(Table2[[#This Row],[Zone]],Table1[Row],Table1[Max Bay],_xleta.NA,0)</f>
        <v>14</v>
      </c>
      <c r="I635" s="1" t="str">
        <f t="shared" si="45"/>
        <v>10</v>
      </c>
      <c r="J635">
        <f t="shared" si="46"/>
        <v>3</v>
      </c>
      <c r="K635" t="str">
        <f>_xlfn.XLOOKUP(Table2[[#This Row],[Row]],Table1[Row],Table1[StartSide],0)</f>
        <v>R</v>
      </c>
      <c r="L635" t="str">
        <f t="shared" si="47"/>
        <v>L</v>
      </c>
      <c r="M635" t="str">
        <f t="shared" si="48"/>
        <v>PS2_E10_3_L</v>
      </c>
    </row>
    <row r="636" spans="1:13" x14ac:dyDescent="0.25">
      <c r="A636" t="s">
        <v>643</v>
      </c>
      <c r="B636" t="s">
        <v>769</v>
      </c>
      <c r="C636" t="s">
        <v>756</v>
      </c>
      <c r="D636">
        <v>3</v>
      </c>
      <c r="E636" t="s">
        <v>752</v>
      </c>
      <c r="F636" t="s">
        <v>780</v>
      </c>
      <c r="G636" t="str">
        <f t="shared" si="49"/>
        <v>E</v>
      </c>
      <c r="H636">
        <f>_xlfn.XLOOKUP(Table2[[#This Row],[Zone]],Table1[Row],Table1[Max Bay],_xleta.NA,0)</f>
        <v>14</v>
      </c>
      <c r="I636" s="1" t="str">
        <f t="shared" si="45"/>
        <v>10</v>
      </c>
      <c r="J636">
        <f t="shared" si="46"/>
        <v>3</v>
      </c>
      <c r="K636" t="str">
        <f>_xlfn.XLOOKUP(Table2[[#This Row],[Row]],Table1[Row],Table1[StartSide],0)</f>
        <v>R</v>
      </c>
      <c r="L636" t="str">
        <f t="shared" si="47"/>
        <v>R</v>
      </c>
      <c r="M636" t="str">
        <f t="shared" si="48"/>
        <v>PS2_E10_3_R</v>
      </c>
    </row>
    <row r="637" spans="1:13" x14ac:dyDescent="0.25">
      <c r="A637" t="s">
        <v>644</v>
      </c>
      <c r="B637" t="s">
        <v>769</v>
      </c>
      <c r="C637" t="s">
        <v>756</v>
      </c>
      <c r="D637">
        <v>4</v>
      </c>
      <c r="E637" t="s">
        <v>751</v>
      </c>
      <c r="F637" t="s">
        <v>780</v>
      </c>
      <c r="G637" t="str">
        <f t="shared" si="49"/>
        <v>E</v>
      </c>
      <c r="H637">
        <f>_xlfn.XLOOKUP(Table2[[#This Row],[Zone]],Table1[Row],Table1[Max Bay],_xleta.NA,0)</f>
        <v>14</v>
      </c>
      <c r="I637" s="1" t="str">
        <f t="shared" si="45"/>
        <v>10</v>
      </c>
      <c r="J637">
        <f t="shared" si="46"/>
        <v>4</v>
      </c>
      <c r="K637" t="str">
        <f>_xlfn.XLOOKUP(Table2[[#This Row],[Row]],Table1[Row],Table1[StartSide],0)</f>
        <v>R</v>
      </c>
      <c r="L637" t="str">
        <f t="shared" si="47"/>
        <v>L</v>
      </c>
      <c r="M637" t="str">
        <f t="shared" si="48"/>
        <v>PS2_E10_4_L</v>
      </c>
    </row>
    <row r="638" spans="1:13" x14ac:dyDescent="0.25">
      <c r="A638" t="s">
        <v>645</v>
      </c>
      <c r="B638" t="s">
        <v>769</v>
      </c>
      <c r="C638" t="s">
        <v>756</v>
      </c>
      <c r="D638">
        <v>4</v>
      </c>
      <c r="E638" t="s">
        <v>752</v>
      </c>
      <c r="F638" t="s">
        <v>780</v>
      </c>
      <c r="G638" t="str">
        <f t="shared" si="49"/>
        <v>E</v>
      </c>
      <c r="H638">
        <f>_xlfn.XLOOKUP(Table2[[#This Row],[Zone]],Table1[Row],Table1[Max Bay],_xleta.NA,0)</f>
        <v>14</v>
      </c>
      <c r="I638" s="1" t="str">
        <f t="shared" si="45"/>
        <v>10</v>
      </c>
      <c r="J638">
        <f t="shared" si="46"/>
        <v>4</v>
      </c>
      <c r="K638" t="str">
        <f>_xlfn.XLOOKUP(Table2[[#This Row],[Row]],Table1[Row],Table1[StartSide],0)</f>
        <v>R</v>
      </c>
      <c r="L638" t="str">
        <f t="shared" si="47"/>
        <v>R</v>
      </c>
      <c r="M638" t="str">
        <f t="shared" si="48"/>
        <v>PS2_E10_4_R</v>
      </c>
    </row>
    <row r="639" spans="1:13" x14ac:dyDescent="0.25">
      <c r="A639" t="s">
        <v>646</v>
      </c>
      <c r="B639" t="s">
        <v>769</v>
      </c>
      <c r="C639" t="s">
        <v>756</v>
      </c>
      <c r="D639">
        <v>5</v>
      </c>
      <c r="E639" t="s">
        <v>751</v>
      </c>
      <c r="F639" t="s">
        <v>780</v>
      </c>
      <c r="G639" t="str">
        <f t="shared" si="49"/>
        <v>E</v>
      </c>
      <c r="H639">
        <f>_xlfn.XLOOKUP(Table2[[#This Row],[Zone]],Table1[Row],Table1[Max Bay],_xleta.NA,0)</f>
        <v>14</v>
      </c>
      <c r="I639" s="1" t="str">
        <f t="shared" si="45"/>
        <v>10</v>
      </c>
      <c r="J639">
        <f t="shared" si="46"/>
        <v>5</v>
      </c>
      <c r="K639" t="str">
        <f>_xlfn.XLOOKUP(Table2[[#This Row],[Row]],Table1[Row],Table1[StartSide],0)</f>
        <v>R</v>
      </c>
      <c r="L639" t="str">
        <f t="shared" si="47"/>
        <v>L</v>
      </c>
      <c r="M639" t="str">
        <f t="shared" si="48"/>
        <v>PS2_E10_5_L</v>
      </c>
    </row>
    <row r="640" spans="1:13" x14ac:dyDescent="0.25">
      <c r="A640" t="s">
        <v>647</v>
      </c>
      <c r="B640" t="s">
        <v>769</v>
      </c>
      <c r="C640" t="s">
        <v>756</v>
      </c>
      <c r="D640">
        <v>5</v>
      </c>
      <c r="E640" t="s">
        <v>752</v>
      </c>
      <c r="F640" t="s">
        <v>780</v>
      </c>
      <c r="G640" t="str">
        <f t="shared" si="49"/>
        <v>E</v>
      </c>
      <c r="H640">
        <f>_xlfn.XLOOKUP(Table2[[#This Row],[Zone]],Table1[Row],Table1[Max Bay],_xleta.NA,0)</f>
        <v>14</v>
      </c>
      <c r="I640" s="1" t="str">
        <f t="shared" si="45"/>
        <v>10</v>
      </c>
      <c r="J640">
        <f t="shared" si="46"/>
        <v>5</v>
      </c>
      <c r="K640" t="str">
        <f>_xlfn.XLOOKUP(Table2[[#This Row],[Row]],Table1[Row],Table1[StartSide],0)</f>
        <v>R</v>
      </c>
      <c r="L640" t="str">
        <f t="shared" si="47"/>
        <v>R</v>
      </c>
      <c r="M640" t="str">
        <f t="shared" si="48"/>
        <v>PS2_E10_5_R</v>
      </c>
    </row>
    <row r="641" spans="1:13" x14ac:dyDescent="0.25">
      <c r="A641" t="s">
        <v>648</v>
      </c>
      <c r="B641" t="s">
        <v>769</v>
      </c>
      <c r="C641" t="s">
        <v>756</v>
      </c>
      <c r="D641">
        <v>6</v>
      </c>
      <c r="E641" t="s">
        <v>751</v>
      </c>
      <c r="F641" t="s">
        <v>780</v>
      </c>
      <c r="G641" t="str">
        <f t="shared" si="49"/>
        <v>E</v>
      </c>
      <c r="H641">
        <f>_xlfn.XLOOKUP(Table2[[#This Row],[Zone]],Table1[Row],Table1[Max Bay],_xleta.NA,0)</f>
        <v>14</v>
      </c>
      <c r="I641" s="1" t="str">
        <f t="shared" si="45"/>
        <v>10</v>
      </c>
      <c r="J641">
        <f t="shared" si="46"/>
        <v>6</v>
      </c>
      <c r="K641" t="str">
        <f>_xlfn.XLOOKUP(Table2[[#This Row],[Row]],Table1[Row],Table1[StartSide],0)</f>
        <v>R</v>
      </c>
      <c r="L641" t="str">
        <f t="shared" si="47"/>
        <v>L</v>
      </c>
      <c r="M641" t="str">
        <f t="shared" si="48"/>
        <v>PS2_E10_6_L</v>
      </c>
    </row>
    <row r="642" spans="1:13" x14ac:dyDescent="0.25">
      <c r="A642" t="s">
        <v>649</v>
      </c>
      <c r="B642" t="s">
        <v>769</v>
      </c>
      <c r="C642" t="s">
        <v>756</v>
      </c>
      <c r="D642">
        <v>6</v>
      </c>
      <c r="E642" t="s">
        <v>752</v>
      </c>
      <c r="F642" t="s">
        <v>780</v>
      </c>
      <c r="G642" t="str">
        <f t="shared" si="49"/>
        <v>E</v>
      </c>
      <c r="H642">
        <f>_xlfn.XLOOKUP(Table2[[#This Row],[Zone]],Table1[Row],Table1[Max Bay],_xleta.NA,0)</f>
        <v>14</v>
      </c>
      <c r="I642" s="1" t="str">
        <f t="shared" ref="I642:I705" si="50">TEXT(H642-INT(C642)+1,"00")</f>
        <v>10</v>
      </c>
      <c r="J642">
        <f t="shared" ref="J642:J705" si="51">D642</f>
        <v>6</v>
      </c>
      <c r="K642" t="str">
        <f>_xlfn.XLOOKUP(Table2[[#This Row],[Row]],Table1[Row],Table1[StartSide],0)</f>
        <v>R</v>
      </c>
      <c r="L642" t="str">
        <f t="shared" ref="L642:L705" si="52">E642</f>
        <v>R</v>
      </c>
      <c r="M642" t="str">
        <f t="shared" ref="M642:M705" si="53">_xlfn.CONCAT(F642,"_",G642,I642,"_",J642,"_",L642)</f>
        <v>PS2_E10_6_R</v>
      </c>
    </row>
    <row r="643" spans="1:13" x14ac:dyDescent="0.25">
      <c r="A643" t="s">
        <v>650</v>
      </c>
      <c r="B643" t="s">
        <v>769</v>
      </c>
      <c r="C643" t="s">
        <v>757</v>
      </c>
      <c r="D643">
        <v>1</v>
      </c>
      <c r="E643" t="s">
        <v>751</v>
      </c>
      <c r="F643" t="s">
        <v>780</v>
      </c>
      <c r="G643" t="str">
        <f t="shared" ref="G643:G706" si="54">B643</f>
        <v>E</v>
      </c>
      <c r="H643">
        <f>_xlfn.XLOOKUP(Table2[[#This Row],[Zone]],Table1[Row],Table1[Max Bay],_xleta.NA,0)</f>
        <v>14</v>
      </c>
      <c r="I643" s="1" t="str">
        <f t="shared" si="50"/>
        <v>09</v>
      </c>
      <c r="J643">
        <f t="shared" si="51"/>
        <v>1</v>
      </c>
      <c r="K643" t="str">
        <f>_xlfn.XLOOKUP(Table2[[#This Row],[Row]],Table1[Row],Table1[StartSide],0)</f>
        <v>R</v>
      </c>
      <c r="L643" t="str">
        <f t="shared" si="52"/>
        <v>L</v>
      </c>
      <c r="M643" t="str">
        <f t="shared" si="53"/>
        <v>PS2_E09_1_L</v>
      </c>
    </row>
    <row r="644" spans="1:13" x14ac:dyDescent="0.25">
      <c r="A644" t="s">
        <v>651</v>
      </c>
      <c r="B644" t="s">
        <v>769</v>
      </c>
      <c r="C644" t="s">
        <v>757</v>
      </c>
      <c r="D644">
        <v>1</v>
      </c>
      <c r="E644" t="s">
        <v>752</v>
      </c>
      <c r="F644" t="s">
        <v>780</v>
      </c>
      <c r="G644" t="str">
        <f t="shared" si="54"/>
        <v>E</v>
      </c>
      <c r="H644">
        <f>_xlfn.XLOOKUP(Table2[[#This Row],[Zone]],Table1[Row],Table1[Max Bay],_xleta.NA,0)</f>
        <v>14</v>
      </c>
      <c r="I644" s="1" t="str">
        <f t="shared" si="50"/>
        <v>09</v>
      </c>
      <c r="J644">
        <f t="shared" si="51"/>
        <v>1</v>
      </c>
      <c r="K644" t="str">
        <f>_xlfn.XLOOKUP(Table2[[#This Row],[Row]],Table1[Row],Table1[StartSide],0)</f>
        <v>R</v>
      </c>
      <c r="L644" t="str">
        <f t="shared" si="52"/>
        <v>R</v>
      </c>
      <c r="M644" t="str">
        <f t="shared" si="53"/>
        <v>PS2_E09_1_R</v>
      </c>
    </row>
    <row r="645" spans="1:13" x14ac:dyDescent="0.25">
      <c r="A645" t="s">
        <v>652</v>
      </c>
      <c r="B645" t="s">
        <v>769</v>
      </c>
      <c r="C645" t="s">
        <v>757</v>
      </c>
      <c r="D645">
        <v>2</v>
      </c>
      <c r="E645" t="s">
        <v>751</v>
      </c>
      <c r="F645" t="s">
        <v>780</v>
      </c>
      <c r="G645" t="str">
        <f t="shared" si="54"/>
        <v>E</v>
      </c>
      <c r="H645">
        <f>_xlfn.XLOOKUP(Table2[[#This Row],[Zone]],Table1[Row],Table1[Max Bay],_xleta.NA,0)</f>
        <v>14</v>
      </c>
      <c r="I645" s="1" t="str">
        <f t="shared" si="50"/>
        <v>09</v>
      </c>
      <c r="J645">
        <f t="shared" si="51"/>
        <v>2</v>
      </c>
      <c r="K645" t="str">
        <f>_xlfn.XLOOKUP(Table2[[#This Row],[Row]],Table1[Row],Table1[StartSide],0)</f>
        <v>R</v>
      </c>
      <c r="L645" t="str">
        <f t="shared" si="52"/>
        <v>L</v>
      </c>
      <c r="M645" t="str">
        <f t="shared" si="53"/>
        <v>PS2_E09_2_L</v>
      </c>
    </row>
    <row r="646" spans="1:13" x14ac:dyDescent="0.25">
      <c r="A646" t="s">
        <v>653</v>
      </c>
      <c r="B646" t="s">
        <v>769</v>
      </c>
      <c r="C646" t="s">
        <v>757</v>
      </c>
      <c r="D646">
        <v>2</v>
      </c>
      <c r="E646" t="s">
        <v>752</v>
      </c>
      <c r="F646" t="s">
        <v>780</v>
      </c>
      <c r="G646" t="str">
        <f t="shared" si="54"/>
        <v>E</v>
      </c>
      <c r="H646">
        <f>_xlfn.XLOOKUP(Table2[[#This Row],[Zone]],Table1[Row],Table1[Max Bay],_xleta.NA,0)</f>
        <v>14</v>
      </c>
      <c r="I646" s="1" t="str">
        <f t="shared" si="50"/>
        <v>09</v>
      </c>
      <c r="J646">
        <f t="shared" si="51"/>
        <v>2</v>
      </c>
      <c r="K646" t="str">
        <f>_xlfn.XLOOKUP(Table2[[#This Row],[Row]],Table1[Row],Table1[StartSide],0)</f>
        <v>R</v>
      </c>
      <c r="L646" t="str">
        <f t="shared" si="52"/>
        <v>R</v>
      </c>
      <c r="M646" t="str">
        <f t="shared" si="53"/>
        <v>PS2_E09_2_R</v>
      </c>
    </row>
    <row r="647" spans="1:13" x14ac:dyDescent="0.25">
      <c r="A647" t="s">
        <v>654</v>
      </c>
      <c r="B647" t="s">
        <v>769</v>
      </c>
      <c r="C647" t="s">
        <v>757</v>
      </c>
      <c r="D647">
        <v>3</v>
      </c>
      <c r="E647" t="s">
        <v>751</v>
      </c>
      <c r="F647" t="s">
        <v>780</v>
      </c>
      <c r="G647" t="str">
        <f t="shared" si="54"/>
        <v>E</v>
      </c>
      <c r="H647">
        <f>_xlfn.XLOOKUP(Table2[[#This Row],[Zone]],Table1[Row],Table1[Max Bay],_xleta.NA,0)</f>
        <v>14</v>
      </c>
      <c r="I647" s="1" t="str">
        <f t="shared" si="50"/>
        <v>09</v>
      </c>
      <c r="J647">
        <f t="shared" si="51"/>
        <v>3</v>
      </c>
      <c r="K647" t="str">
        <f>_xlfn.XLOOKUP(Table2[[#This Row],[Row]],Table1[Row],Table1[StartSide],0)</f>
        <v>R</v>
      </c>
      <c r="L647" t="str">
        <f t="shared" si="52"/>
        <v>L</v>
      </c>
      <c r="M647" t="str">
        <f t="shared" si="53"/>
        <v>PS2_E09_3_L</v>
      </c>
    </row>
    <row r="648" spans="1:13" x14ac:dyDescent="0.25">
      <c r="A648" t="s">
        <v>655</v>
      </c>
      <c r="B648" t="s">
        <v>769</v>
      </c>
      <c r="C648" t="s">
        <v>757</v>
      </c>
      <c r="D648">
        <v>3</v>
      </c>
      <c r="E648" t="s">
        <v>752</v>
      </c>
      <c r="F648" t="s">
        <v>780</v>
      </c>
      <c r="G648" t="str">
        <f t="shared" si="54"/>
        <v>E</v>
      </c>
      <c r="H648">
        <f>_xlfn.XLOOKUP(Table2[[#This Row],[Zone]],Table1[Row],Table1[Max Bay],_xleta.NA,0)</f>
        <v>14</v>
      </c>
      <c r="I648" s="1" t="str">
        <f t="shared" si="50"/>
        <v>09</v>
      </c>
      <c r="J648">
        <f t="shared" si="51"/>
        <v>3</v>
      </c>
      <c r="K648" t="str">
        <f>_xlfn.XLOOKUP(Table2[[#This Row],[Row]],Table1[Row],Table1[StartSide],0)</f>
        <v>R</v>
      </c>
      <c r="L648" t="str">
        <f t="shared" si="52"/>
        <v>R</v>
      </c>
      <c r="M648" t="str">
        <f t="shared" si="53"/>
        <v>PS2_E09_3_R</v>
      </c>
    </row>
    <row r="649" spans="1:13" x14ac:dyDescent="0.25">
      <c r="A649" t="s">
        <v>656</v>
      </c>
      <c r="B649" t="s">
        <v>769</v>
      </c>
      <c r="C649" t="s">
        <v>757</v>
      </c>
      <c r="D649">
        <v>4</v>
      </c>
      <c r="E649" t="s">
        <v>751</v>
      </c>
      <c r="F649" t="s">
        <v>780</v>
      </c>
      <c r="G649" t="str">
        <f t="shared" si="54"/>
        <v>E</v>
      </c>
      <c r="H649">
        <f>_xlfn.XLOOKUP(Table2[[#This Row],[Zone]],Table1[Row],Table1[Max Bay],_xleta.NA,0)</f>
        <v>14</v>
      </c>
      <c r="I649" s="1" t="str">
        <f t="shared" si="50"/>
        <v>09</v>
      </c>
      <c r="J649">
        <f t="shared" si="51"/>
        <v>4</v>
      </c>
      <c r="K649" t="str">
        <f>_xlfn.XLOOKUP(Table2[[#This Row],[Row]],Table1[Row],Table1[StartSide],0)</f>
        <v>R</v>
      </c>
      <c r="L649" t="str">
        <f t="shared" si="52"/>
        <v>L</v>
      </c>
      <c r="M649" t="str">
        <f t="shared" si="53"/>
        <v>PS2_E09_4_L</v>
      </c>
    </row>
    <row r="650" spans="1:13" x14ac:dyDescent="0.25">
      <c r="A650" t="s">
        <v>657</v>
      </c>
      <c r="B650" t="s">
        <v>769</v>
      </c>
      <c r="C650" t="s">
        <v>757</v>
      </c>
      <c r="D650">
        <v>4</v>
      </c>
      <c r="E650" t="s">
        <v>752</v>
      </c>
      <c r="F650" t="s">
        <v>780</v>
      </c>
      <c r="G650" t="str">
        <f t="shared" si="54"/>
        <v>E</v>
      </c>
      <c r="H650">
        <f>_xlfn.XLOOKUP(Table2[[#This Row],[Zone]],Table1[Row],Table1[Max Bay],_xleta.NA,0)</f>
        <v>14</v>
      </c>
      <c r="I650" s="1" t="str">
        <f t="shared" si="50"/>
        <v>09</v>
      </c>
      <c r="J650">
        <f t="shared" si="51"/>
        <v>4</v>
      </c>
      <c r="K650" t="str">
        <f>_xlfn.XLOOKUP(Table2[[#This Row],[Row]],Table1[Row],Table1[StartSide],0)</f>
        <v>R</v>
      </c>
      <c r="L650" t="str">
        <f t="shared" si="52"/>
        <v>R</v>
      </c>
      <c r="M650" t="str">
        <f t="shared" si="53"/>
        <v>PS2_E09_4_R</v>
      </c>
    </row>
    <row r="651" spans="1:13" x14ac:dyDescent="0.25">
      <c r="A651" t="s">
        <v>658</v>
      </c>
      <c r="B651" t="s">
        <v>769</v>
      </c>
      <c r="C651" t="s">
        <v>757</v>
      </c>
      <c r="D651">
        <v>5</v>
      </c>
      <c r="E651" t="s">
        <v>751</v>
      </c>
      <c r="F651" t="s">
        <v>780</v>
      </c>
      <c r="G651" t="str">
        <f t="shared" si="54"/>
        <v>E</v>
      </c>
      <c r="H651">
        <f>_xlfn.XLOOKUP(Table2[[#This Row],[Zone]],Table1[Row],Table1[Max Bay],_xleta.NA,0)</f>
        <v>14</v>
      </c>
      <c r="I651" s="1" t="str">
        <f t="shared" si="50"/>
        <v>09</v>
      </c>
      <c r="J651">
        <f t="shared" si="51"/>
        <v>5</v>
      </c>
      <c r="K651" t="str">
        <f>_xlfn.XLOOKUP(Table2[[#This Row],[Row]],Table1[Row],Table1[StartSide],0)</f>
        <v>R</v>
      </c>
      <c r="L651" t="str">
        <f t="shared" si="52"/>
        <v>L</v>
      </c>
      <c r="M651" t="str">
        <f t="shared" si="53"/>
        <v>PS2_E09_5_L</v>
      </c>
    </row>
    <row r="652" spans="1:13" x14ac:dyDescent="0.25">
      <c r="A652" t="s">
        <v>659</v>
      </c>
      <c r="B652" t="s">
        <v>769</v>
      </c>
      <c r="C652" t="s">
        <v>757</v>
      </c>
      <c r="D652">
        <v>5</v>
      </c>
      <c r="E652" t="s">
        <v>752</v>
      </c>
      <c r="F652" t="s">
        <v>780</v>
      </c>
      <c r="G652" t="str">
        <f t="shared" si="54"/>
        <v>E</v>
      </c>
      <c r="H652">
        <f>_xlfn.XLOOKUP(Table2[[#This Row],[Zone]],Table1[Row],Table1[Max Bay],_xleta.NA,0)</f>
        <v>14</v>
      </c>
      <c r="I652" s="1" t="str">
        <f t="shared" si="50"/>
        <v>09</v>
      </c>
      <c r="J652">
        <f t="shared" si="51"/>
        <v>5</v>
      </c>
      <c r="K652" t="str">
        <f>_xlfn.XLOOKUP(Table2[[#This Row],[Row]],Table1[Row],Table1[StartSide],0)</f>
        <v>R</v>
      </c>
      <c r="L652" t="str">
        <f t="shared" si="52"/>
        <v>R</v>
      </c>
      <c r="M652" t="str">
        <f t="shared" si="53"/>
        <v>PS2_E09_5_R</v>
      </c>
    </row>
    <row r="653" spans="1:13" x14ac:dyDescent="0.25">
      <c r="A653" t="s">
        <v>660</v>
      </c>
      <c r="B653" t="s">
        <v>769</v>
      </c>
      <c r="C653" t="s">
        <v>757</v>
      </c>
      <c r="D653">
        <v>6</v>
      </c>
      <c r="E653" t="s">
        <v>751</v>
      </c>
      <c r="F653" t="s">
        <v>780</v>
      </c>
      <c r="G653" t="str">
        <f t="shared" si="54"/>
        <v>E</v>
      </c>
      <c r="H653">
        <f>_xlfn.XLOOKUP(Table2[[#This Row],[Zone]],Table1[Row],Table1[Max Bay],_xleta.NA,0)</f>
        <v>14</v>
      </c>
      <c r="I653" s="1" t="str">
        <f t="shared" si="50"/>
        <v>09</v>
      </c>
      <c r="J653">
        <f t="shared" si="51"/>
        <v>6</v>
      </c>
      <c r="K653" t="str">
        <f>_xlfn.XLOOKUP(Table2[[#This Row],[Row]],Table1[Row],Table1[StartSide],0)</f>
        <v>R</v>
      </c>
      <c r="L653" t="str">
        <f t="shared" si="52"/>
        <v>L</v>
      </c>
      <c r="M653" t="str">
        <f t="shared" si="53"/>
        <v>PS2_E09_6_L</v>
      </c>
    </row>
    <row r="654" spans="1:13" x14ac:dyDescent="0.25">
      <c r="A654" t="s">
        <v>661</v>
      </c>
      <c r="B654" t="s">
        <v>769</v>
      </c>
      <c r="C654" t="s">
        <v>757</v>
      </c>
      <c r="D654">
        <v>6</v>
      </c>
      <c r="E654" t="s">
        <v>752</v>
      </c>
      <c r="F654" t="s">
        <v>780</v>
      </c>
      <c r="G654" t="str">
        <f t="shared" si="54"/>
        <v>E</v>
      </c>
      <c r="H654">
        <f>_xlfn.XLOOKUP(Table2[[#This Row],[Zone]],Table1[Row],Table1[Max Bay],_xleta.NA,0)</f>
        <v>14</v>
      </c>
      <c r="I654" s="1" t="str">
        <f t="shared" si="50"/>
        <v>09</v>
      </c>
      <c r="J654">
        <f t="shared" si="51"/>
        <v>6</v>
      </c>
      <c r="K654" t="str">
        <f>_xlfn.XLOOKUP(Table2[[#This Row],[Row]],Table1[Row],Table1[StartSide],0)</f>
        <v>R</v>
      </c>
      <c r="L654" t="str">
        <f t="shared" si="52"/>
        <v>R</v>
      </c>
      <c r="M654" t="str">
        <f t="shared" si="53"/>
        <v>PS2_E09_6_R</v>
      </c>
    </row>
    <row r="655" spans="1:13" x14ac:dyDescent="0.25">
      <c r="A655" t="s">
        <v>662</v>
      </c>
      <c r="B655" t="s">
        <v>769</v>
      </c>
      <c r="C655" t="s">
        <v>758</v>
      </c>
      <c r="D655">
        <v>1</v>
      </c>
      <c r="E655" t="s">
        <v>751</v>
      </c>
      <c r="F655" t="s">
        <v>780</v>
      </c>
      <c r="G655" t="str">
        <f t="shared" si="54"/>
        <v>E</v>
      </c>
      <c r="H655">
        <f>_xlfn.XLOOKUP(Table2[[#This Row],[Zone]],Table1[Row],Table1[Max Bay],_xleta.NA,0)</f>
        <v>14</v>
      </c>
      <c r="I655" s="1" t="str">
        <f t="shared" si="50"/>
        <v>08</v>
      </c>
      <c r="J655">
        <f t="shared" si="51"/>
        <v>1</v>
      </c>
      <c r="K655" t="str">
        <f>_xlfn.XLOOKUP(Table2[[#This Row],[Row]],Table1[Row],Table1[StartSide],0)</f>
        <v>R</v>
      </c>
      <c r="L655" t="str">
        <f t="shared" si="52"/>
        <v>L</v>
      </c>
      <c r="M655" t="str">
        <f t="shared" si="53"/>
        <v>PS2_E08_1_L</v>
      </c>
    </row>
    <row r="656" spans="1:13" x14ac:dyDescent="0.25">
      <c r="A656" t="s">
        <v>663</v>
      </c>
      <c r="B656" t="s">
        <v>769</v>
      </c>
      <c r="C656" t="s">
        <v>758</v>
      </c>
      <c r="D656">
        <v>1</v>
      </c>
      <c r="E656" t="s">
        <v>752</v>
      </c>
      <c r="F656" t="s">
        <v>780</v>
      </c>
      <c r="G656" t="str">
        <f t="shared" si="54"/>
        <v>E</v>
      </c>
      <c r="H656">
        <f>_xlfn.XLOOKUP(Table2[[#This Row],[Zone]],Table1[Row],Table1[Max Bay],_xleta.NA,0)</f>
        <v>14</v>
      </c>
      <c r="I656" s="1" t="str">
        <f t="shared" si="50"/>
        <v>08</v>
      </c>
      <c r="J656">
        <f t="shared" si="51"/>
        <v>1</v>
      </c>
      <c r="K656" t="str">
        <f>_xlfn.XLOOKUP(Table2[[#This Row],[Row]],Table1[Row],Table1[StartSide],0)</f>
        <v>R</v>
      </c>
      <c r="L656" t="str">
        <f t="shared" si="52"/>
        <v>R</v>
      </c>
      <c r="M656" t="str">
        <f t="shared" si="53"/>
        <v>PS2_E08_1_R</v>
      </c>
    </row>
    <row r="657" spans="1:13" x14ac:dyDescent="0.25">
      <c r="A657" t="s">
        <v>664</v>
      </c>
      <c r="B657" t="s">
        <v>769</v>
      </c>
      <c r="C657" t="s">
        <v>758</v>
      </c>
      <c r="D657">
        <v>2</v>
      </c>
      <c r="E657" t="s">
        <v>751</v>
      </c>
      <c r="F657" t="s">
        <v>780</v>
      </c>
      <c r="G657" t="str">
        <f t="shared" si="54"/>
        <v>E</v>
      </c>
      <c r="H657">
        <f>_xlfn.XLOOKUP(Table2[[#This Row],[Zone]],Table1[Row],Table1[Max Bay],_xleta.NA,0)</f>
        <v>14</v>
      </c>
      <c r="I657" s="1" t="str">
        <f t="shared" si="50"/>
        <v>08</v>
      </c>
      <c r="J657">
        <f t="shared" si="51"/>
        <v>2</v>
      </c>
      <c r="K657" t="str">
        <f>_xlfn.XLOOKUP(Table2[[#This Row],[Row]],Table1[Row],Table1[StartSide],0)</f>
        <v>R</v>
      </c>
      <c r="L657" t="str">
        <f t="shared" si="52"/>
        <v>L</v>
      </c>
      <c r="M657" t="str">
        <f t="shared" si="53"/>
        <v>PS2_E08_2_L</v>
      </c>
    </row>
    <row r="658" spans="1:13" x14ac:dyDescent="0.25">
      <c r="A658" t="s">
        <v>665</v>
      </c>
      <c r="B658" t="s">
        <v>769</v>
      </c>
      <c r="C658" t="s">
        <v>758</v>
      </c>
      <c r="D658">
        <v>2</v>
      </c>
      <c r="E658" t="s">
        <v>752</v>
      </c>
      <c r="F658" t="s">
        <v>780</v>
      </c>
      <c r="G658" t="str">
        <f t="shared" si="54"/>
        <v>E</v>
      </c>
      <c r="H658">
        <f>_xlfn.XLOOKUP(Table2[[#This Row],[Zone]],Table1[Row],Table1[Max Bay],_xleta.NA,0)</f>
        <v>14</v>
      </c>
      <c r="I658" s="1" t="str">
        <f t="shared" si="50"/>
        <v>08</v>
      </c>
      <c r="J658">
        <f t="shared" si="51"/>
        <v>2</v>
      </c>
      <c r="K658" t="str">
        <f>_xlfn.XLOOKUP(Table2[[#This Row],[Row]],Table1[Row],Table1[StartSide],0)</f>
        <v>R</v>
      </c>
      <c r="L658" t="str">
        <f t="shared" si="52"/>
        <v>R</v>
      </c>
      <c r="M658" t="str">
        <f t="shared" si="53"/>
        <v>PS2_E08_2_R</v>
      </c>
    </row>
    <row r="659" spans="1:13" x14ac:dyDescent="0.25">
      <c r="A659" t="s">
        <v>666</v>
      </c>
      <c r="B659" t="s">
        <v>769</v>
      </c>
      <c r="C659" t="s">
        <v>758</v>
      </c>
      <c r="D659">
        <v>3</v>
      </c>
      <c r="E659" t="s">
        <v>751</v>
      </c>
      <c r="F659" t="s">
        <v>780</v>
      </c>
      <c r="G659" t="str">
        <f t="shared" si="54"/>
        <v>E</v>
      </c>
      <c r="H659">
        <f>_xlfn.XLOOKUP(Table2[[#This Row],[Zone]],Table1[Row],Table1[Max Bay],_xleta.NA,0)</f>
        <v>14</v>
      </c>
      <c r="I659" s="1" t="str">
        <f t="shared" si="50"/>
        <v>08</v>
      </c>
      <c r="J659">
        <f t="shared" si="51"/>
        <v>3</v>
      </c>
      <c r="K659" t="str">
        <f>_xlfn.XLOOKUP(Table2[[#This Row],[Row]],Table1[Row],Table1[StartSide],0)</f>
        <v>R</v>
      </c>
      <c r="L659" t="str">
        <f t="shared" si="52"/>
        <v>L</v>
      </c>
      <c r="M659" t="str">
        <f t="shared" si="53"/>
        <v>PS2_E08_3_L</v>
      </c>
    </row>
    <row r="660" spans="1:13" x14ac:dyDescent="0.25">
      <c r="A660" t="s">
        <v>667</v>
      </c>
      <c r="B660" t="s">
        <v>769</v>
      </c>
      <c r="C660" t="s">
        <v>758</v>
      </c>
      <c r="D660">
        <v>3</v>
      </c>
      <c r="E660" t="s">
        <v>752</v>
      </c>
      <c r="F660" t="s">
        <v>780</v>
      </c>
      <c r="G660" t="str">
        <f t="shared" si="54"/>
        <v>E</v>
      </c>
      <c r="H660">
        <f>_xlfn.XLOOKUP(Table2[[#This Row],[Zone]],Table1[Row],Table1[Max Bay],_xleta.NA,0)</f>
        <v>14</v>
      </c>
      <c r="I660" s="1" t="str">
        <f t="shared" si="50"/>
        <v>08</v>
      </c>
      <c r="J660">
        <f t="shared" si="51"/>
        <v>3</v>
      </c>
      <c r="K660" t="str">
        <f>_xlfn.XLOOKUP(Table2[[#This Row],[Row]],Table1[Row],Table1[StartSide],0)</f>
        <v>R</v>
      </c>
      <c r="L660" t="str">
        <f t="shared" si="52"/>
        <v>R</v>
      </c>
      <c r="M660" t="str">
        <f t="shared" si="53"/>
        <v>PS2_E08_3_R</v>
      </c>
    </row>
    <row r="661" spans="1:13" x14ac:dyDescent="0.25">
      <c r="A661" t="s">
        <v>668</v>
      </c>
      <c r="B661" t="s">
        <v>769</v>
      </c>
      <c r="C661" t="s">
        <v>758</v>
      </c>
      <c r="D661">
        <v>4</v>
      </c>
      <c r="E661" t="s">
        <v>751</v>
      </c>
      <c r="F661" t="s">
        <v>780</v>
      </c>
      <c r="G661" t="str">
        <f t="shared" si="54"/>
        <v>E</v>
      </c>
      <c r="H661">
        <f>_xlfn.XLOOKUP(Table2[[#This Row],[Zone]],Table1[Row],Table1[Max Bay],_xleta.NA,0)</f>
        <v>14</v>
      </c>
      <c r="I661" s="1" t="str">
        <f t="shared" si="50"/>
        <v>08</v>
      </c>
      <c r="J661">
        <f t="shared" si="51"/>
        <v>4</v>
      </c>
      <c r="K661" t="str">
        <f>_xlfn.XLOOKUP(Table2[[#This Row],[Row]],Table1[Row],Table1[StartSide],0)</f>
        <v>R</v>
      </c>
      <c r="L661" t="str">
        <f t="shared" si="52"/>
        <v>L</v>
      </c>
      <c r="M661" t="str">
        <f t="shared" si="53"/>
        <v>PS2_E08_4_L</v>
      </c>
    </row>
    <row r="662" spans="1:13" x14ac:dyDescent="0.25">
      <c r="A662" t="s">
        <v>669</v>
      </c>
      <c r="B662" t="s">
        <v>769</v>
      </c>
      <c r="C662" t="s">
        <v>758</v>
      </c>
      <c r="D662">
        <v>4</v>
      </c>
      <c r="E662" t="s">
        <v>752</v>
      </c>
      <c r="F662" t="s">
        <v>780</v>
      </c>
      <c r="G662" t="str">
        <f t="shared" si="54"/>
        <v>E</v>
      </c>
      <c r="H662">
        <f>_xlfn.XLOOKUP(Table2[[#This Row],[Zone]],Table1[Row],Table1[Max Bay],_xleta.NA,0)</f>
        <v>14</v>
      </c>
      <c r="I662" s="1" t="str">
        <f t="shared" si="50"/>
        <v>08</v>
      </c>
      <c r="J662">
        <f t="shared" si="51"/>
        <v>4</v>
      </c>
      <c r="K662" t="str">
        <f>_xlfn.XLOOKUP(Table2[[#This Row],[Row]],Table1[Row],Table1[StartSide],0)</f>
        <v>R</v>
      </c>
      <c r="L662" t="str">
        <f t="shared" si="52"/>
        <v>R</v>
      </c>
      <c r="M662" t="str">
        <f t="shared" si="53"/>
        <v>PS2_E08_4_R</v>
      </c>
    </row>
    <row r="663" spans="1:13" x14ac:dyDescent="0.25">
      <c r="A663" t="s">
        <v>670</v>
      </c>
      <c r="B663" t="s">
        <v>769</v>
      </c>
      <c r="C663" t="s">
        <v>758</v>
      </c>
      <c r="D663">
        <v>5</v>
      </c>
      <c r="E663" t="s">
        <v>751</v>
      </c>
      <c r="F663" t="s">
        <v>780</v>
      </c>
      <c r="G663" t="str">
        <f t="shared" si="54"/>
        <v>E</v>
      </c>
      <c r="H663">
        <f>_xlfn.XLOOKUP(Table2[[#This Row],[Zone]],Table1[Row],Table1[Max Bay],_xleta.NA,0)</f>
        <v>14</v>
      </c>
      <c r="I663" s="1" t="str">
        <f t="shared" si="50"/>
        <v>08</v>
      </c>
      <c r="J663">
        <f t="shared" si="51"/>
        <v>5</v>
      </c>
      <c r="K663" t="str">
        <f>_xlfn.XLOOKUP(Table2[[#This Row],[Row]],Table1[Row],Table1[StartSide],0)</f>
        <v>R</v>
      </c>
      <c r="L663" t="str">
        <f t="shared" si="52"/>
        <v>L</v>
      </c>
      <c r="M663" t="str">
        <f t="shared" si="53"/>
        <v>PS2_E08_5_L</v>
      </c>
    </row>
    <row r="664" spans="1:13" x14ac:dyDescent="0.25">
      <c r="A664" t="s">
        <v>671</v>
      </c>
      <c r="B664" t="s">
        <v>769</v>
      </c>
      <c r="C664" t="s">
        <v>758</v>
      </c>
      <c r="D664">
        <v>5</v>
      </c>
      <c r="E664" t="s">
        <v>752</v>
      </c>
      <c r="F664" t="s">
        <v>780</v>
      </c>
      <c r="G664" t="str">
        <f t="shared" si="54"/>
        <v>E</v>
      </c>
      <c r="H664">
        <f>_xlfn.XLOOKUP(Table2[[#This Row],[Zone]],Table1[Row],Table1[Max Bay],_xleta.NA,0)</f>
        <v>14</v>
      </c>
      <c r="I664" s="1" t="str">
        <f t="shared" si="50"/>
        <v>08</v>
      </c>
      <c r="J664">
        <f t="shared" si="51"/>
        <v>5</v>
      </c>
      <c r="K664" t="str">
        <f>_xlfn.XLOOKUP(Table2[[#This Row],[Row]],Table1[Row],Table1[StartSide],0)</f>
        <v>R</v>
      </c>
      <c r="L664" t="str">
        <f t="shared" si="52"/>
        <v>R</v>
      </c>
      <c r="M664" t="str">
        <f t="shared" si="53"/>
        <v>PS2_E08_5_R</v>
      </c>
    </row>
    <row r="665" spans="1:13" x14ac:dyDescent="0.25">
      <c r="A665" t="s">
        <v>672</v>
      </c>
      <c r="B665" t="s">
        <v>769</v>
      </c>
      <c r="C665" t="s">
        <v>758</v>
      </c>
      <c r="D665">
        <v>6</v>
      </c>
      <c r="E665" t="s">
        <v>751</v>
      </c>
      <c r="F665" t="s">
        <v>780</v>
      </c>
      <c r="G665" t="str">
        <f t="shared" si="54"/>
        <v>E</v>
      </c>
      <c r="H665">
        <f>_xlfn.XLOOKUP(Table2[[#This Row],[Zone]],Table1[Row],Table1[Max Bay],_xleta.NA,0)</f>
        <v>14</v>
      </c>
      <c r="I665" s="1" t="str">
        <f t="shared" si="50"/>
        <v>08</v>
      </c>
      <c r="J665">
        <f t="shared" si="51"/>
        <v>6</v>
      </c>
      <c r="K665" t="str">
        <f>_xlfn.XLOOKUP(Table2[[#This Row],[Row]],Table1[Row],Table1[StartSide],0)</f>
        <v>R</v>
      </c>
      <c r="L665" t="str">
        <f t="shared" si="52"/>
        <v>L</v>
      </c>
      <c r="M665" t="str">
        <f t="shared" si="53"/>
        <v>PS2_E08_6_L</v>
      </c>
    </row>
    <row r="666" spans="1:13" x14ac:dyDescent="0.25">
      <c r="A666" t="s">
        <v>673</v>
      </c>
      <c r="B666" t="s">
        <v>769</v>
      </c>
      <c r="C666" t="s">
        <v>758</v>
      </c>
      <c r="D666">
        <v>6</v>
      </c>
      <c r="E666" t="s">
        <v>752</v>
      </c>
      <c r="F666" t="s">
        <v>780</v>
      </c>
      <c r="G666" t="str">
        <f t="shared" si="54"/>
        <v>E</v>
      </c>
      <c r="H666">
        <f>_xlfn.XLOOKUP(Table2[[#This Row],[Zone]],Table1[Row],Table1[Max Bay],_xleta.NA,0)</f>
        <v>14</v>
      </c>
      <c r="I666" s="1" t="str">
        <f t="shared" si="50"/>
        <v>08</v>
      </c>
      <c r="J666">
        <f t="shared" si="51"/>
        <v>6</v>
      </c>
      <c r="K666" t="str">
        <f>_xlfn.XLOOKUP(Table2[[#This Row],[Row]],Table1[Row],Table1[StartSide],0)</f>
        <v>R</v>
      </c>
      <c r="L666" t="str">
        <f t="shared" si="52"/>
        <v>R</v>
      </c>
      <c r="M666" t="str">
        <f t="shared" si="53"/>
        <v>PS2_E08_6_R</v>
      </c>
    </row>
    <row r="667" spans="1:13" x14ac:dyDescent="0.25">
      <c r="A667" t="s">
        <v>674</v>
      </c>
      <c r="B667" t="s">
        <v>769</v>
      </c>
      <c r="C667" t="s">
        <v>759</v>
      </c>
      <c r="D667">
        <v>1</v>
      </c>
      <c r="E667" t="s">
        <v>751</v>
      </c>
      <c r="F667" t="s">
        <v>780</v>
      </c>
      <c r="G667" t="str">
        <f t="shared" si="54"/>
        <v>E</v>
      </c>
      <c r="H667">
        <f>_xlfn.XLOOKUP(Table2[[#This Row],[Zone]],Table1[Row],Table1[Max Bay],_xleta.NA,0)</f>
        <v>14</v>
      </c>
      <c r="I667" s="1" t="str">
        <f t="shared" si="50"/>
        <v>07</v>
      </c>
      <c r="J667">
        <f t="shared" si="51"/>
        <v>1</v>
      </c>
      <c r="K667" t="str">
        <f>_xlfn.XLOOKUP(Table2[[#This Row],[Row]],Table1[Row],Table1[StartSide],0)</f>
        <v>R</v>
      </c>
      <c r="L667" t="str">
        <f t="shared" si="52"/>
        <v>L</v>
      </c>
      <c r="M667" t="str">
        <f t="shared" si="53"/>
        <v>PS2_E07_1_L</v>
      </c>
    </row>
    <row r="668" spans="1:13" x14ac:dyDescent="0.25">
      <c r="A668" t="s">
        <v>675</v>
      </c>
      <c r="B668" t="s">
        <v>769</v>
      </c>
      <c r="C668" t="s">
        <v>759</v>
      </c>
      <c r="D668">
        <v>1</v>
      </c>
      <c r="E668" t="s">
        <v>752</v>
      </c>
      <c r="F668" t="s">
        <v>780</v>
      </c>
      <c r="G668" t="str">
        <f t="shared" si="54"/>
        <v>E</v>
      </c>
      <c r="H668">
        <f>_xlfn.XLOOKUP(Table2[[#This Row],[Zone]],Table1[Row],Table1[Max Bay],_xleta.NA,0)</f>
        <v>14</v>
      </c>
      <c r="I668" s="1" t="str">
        <f t="shared" si="50"/>
        <v>07</v>
      </c>
      <c r="J668">
        <f t="shared" si="51"/>
        <v>1</v>
      </c>
      <c r="K668" t="str">
        <f>_xlfn.XLOOKUP(Table2[[#This Row],[Row]],Table1[Row],Table1[StartSide],0)</f>
        <v>R</v>
      </c>
      <c r="L668" t="str">
        <f t="shared" si="52"/>
        <v>R</v>
      </c>
      <c r="M668" t="str">
        <f t="shared" si="53"/>
        <v>PS2_E07_1_R</v>
      </c>
    </row>
    <row r="669" spans="1:13" x14ac:dyDescent="0.25">
      <c r="A669" t="s">
        <v>676</v>
      </c>
      <c r="B669" t="s">
        <v>769</v>
      </c>
      <c r="C669" t="s">
        <v>759</v>
      </c>
      <c r="D669">
        <v>2</v>
      </c>
      <c r="E669" t="s">
        <v>751</v>
      </c>
      <c r="F669" t="s">
        <v>780</v>
      </c>
      <c r="G669" t="str">
        <f t="shared" si="54"/>
        <v>E</v>
      </c>
      <c r="H669">
        <f>_xlfn.XLOOKUP(Table2[[#This Row],[Zone]],Table1[Row],Table1[Max Bay],_xleta.NA,0)</f>
        <v>14</v>
      </c>
      <c r="I669" s="1" t="str">
        <f t="shared" si="50"/>
        <v>07</v>
      </c>
      <c r="J669">
        <f t="shared" si="51"/>
        <v>2</v>
      </c>
      <c r="K669" t="str">
        <f>_xlfn.XLOOKUP(Table2[[#This Row],[Row]],Table1[Row],Table1[StartSide],0)</f>
        <v>R</v>
      </c>
      <c r="L669" t="str">
        <f t="shared" si="52"/>
        <v>L</v>
      </c>
      <c r="M669" t="str">
        <f t="shared" si="53"/>
        <v>PS2_E07_2_L</v>
      </c>
    </row>
    <row r="670" spans="1:13" x14ac:dyDescent="0.25">
      <c r="A670" t="s">
        <v>677</v>
      </c>
      <c r="B670" t="s">
        <v>769</v>
      </c>
      <c r="C670" t="s">
        <v>759</v>
      </c>
      <c r="D670">
        <v>2</v>
      </c>
      <c r="E670" t="s">
        <v>752</v>
      </c>
      <c r="F670" t="s">
        <v>780</v>
      </c>
      <c r="G670" t="str">
        <f t="shared" si="54"/>
        <v>E</v>
      </c>
      <c r="H670">
        <f>_xlfn.XLOOKUP(Table2[[#This Row],[Zone]],Table1[Row],Table1[Max Bay],_xleta.NA,0)</f>
        <v>14</v>
      </c>
      <c r="I670" s="1" t="str">
        <f t="shared" si="50"/>
        <v>07</v>
      </c>
      <c r="J670">
        <f t="shared" si="51"/>
        <v>2</v>
      </c>
      <c r="K670" t="str">
        <f>_xlfn.XLOOKUP(Table2[[#This Row],[Row]],Table1[Row],Table1[StartSide],0)</f>
        <v>R</v>
      </c>
      <c r="L670" t="str">
        <f t="shared" si="52"/>
        <v>R</v>
      </c>
      <c r="M670" t="str">
        <f t="shared" si="53"/>
        <v>PS2_E07_2_R</v>
      </c>
    </row>
    <row r="671" spans="1:13" x14ac:dyDescent="0.25">
      <c r="A671" t="s">
        <v>678</v>
      </c>
      <c r="B671" t="s">
        <v>769</v>
      </c>
      <c r="C671" t="s">
        <v>759</v>
      </c>
      <c r="D671">
        <v>3</v>
      </c>
      <c r="E671" t="s">
        <v>751</v>
      </c>
      <c r="F671" t="s">
        <v>780</v>
      </c>
      <c r="G671" t="str">
        <f t="shared" si="54"/>
        <v>E</v>
      </c>
      <c r="H671">
        <f>_xlfn.XLOOKUP(Table2[[#This Row],[Zone]],Table1[Row],Table1[Max Bay],_xleta.NA,0)</f>
        <v>14</v>
      </c>
      <c r="I671" s="1" t="str">
        <f t="shared" si="50"/>
        <v>07</v>
      </c>
      <c r="J671">
        <f t="shared" si="51"/>
        <v>3</v>
      </c>
      <c r="K671" t="str">
        <f>_xlfn.XLOOKUP(Table2[[#This Row],[Row]],Table1[Row],Table1[StartSide],0)</f>
        <v>R</v>
      </c>
      <c r="L671" t="str">
        <f t="shared" si="52"/>
        <v>L</v>
      </c>
      <c r="M671" t="str">
        <f t="shared" si="53"/>
        <v>PS2_E07_3_L</v>
      </c>
    </row>
    <row r="672" spans="1:13" x14ac:dyDescent="0.25">
      <c r="A672" t="s">
        <v>679</v>
      </c>
      <c r="B672" t="s">
        <v>769</v>
      </c>
      <c r="C672" t="s">
        <v>759</v>
      </c>
      <c r="D672">
        <v>3</v>
      </c>
      <c r="E672" t="s">
        <v>752</v>
      </c>
      <c r="F672" t="s">
        <v>780</v>
      </c>
      <c r="G672" t="str">
        <f t="shared" si="54"/>
        <v>E</v>
      </c>
      <c r="H672">
        <f>_xlfn.XLOOKUP(Table2[[#This Row],[Zone]],Table1[Row],Table1[Max Bay],_xleta.NA,0)</f>
        <v>14</v>
      </c>
      <c r="I672" s="1" t="str">
        <f t="shared" si="50"/>
        <v>07</v>
      </c>
      <c r="J672">
        <f t="shared" si="51"/>
        <v>3</v>
      </c>
      <c r="K672" t="str">
        <f>_xlfn.XLOOKUP(Table2[[#This Row],[Row]],Table1[Row],Table1[StartSide],0)</f>
        <v>R</v>
      </c>
      <c r="L672" t="str">
        <f t="shared" si="52"/>
        <v>R</v>
      </c>
      <c r="M672" t="str">
        <f t="shared" si="53"/>
        <v>PS2_E07_3_R</v>
      </c>
    </row>
    <row r="673" spans="1:13" x14ac:dyDescent="0.25">
      <c r="A673" t="s">
        <v>680</v>
      </c>
      <c r="B673" t="s">
        <v>769</v>
      </c>
      <c r="C673" t="s">
        <v>759</v>
      </c>
      <c r="D673">
        <v>4</v>
      </c>
      <c r="E673" t="s">
        <v>751</v>
      </c>
      <c r="F673" t="s">
        <v>780</v>
      </c>
      <c r="G673" t="str">
        <f t="shared" si="54"/>
        <v>E</v>
      </c>
      <c r="H673">
        <f>_xlfn.XLOOKUP(Table2[[#This Row],[Zone]],Table1[Row],Table1[Max Bay],_xleta.NA,0)</f>
        <v>14</v>
      </c>
      <c r="I673" s="1" t="str">
        <f t="shared" si="50"/>
        <v>07</v>
      </c>
      <c r="J673">
        <f t="shared" si="51"/>
        <v>4</v>
      </c>
      <c r="K673" t="str">
        <f>_xlfn.XLOOKUP(Table2[[#This Row],[Row]],Table1[Row],Table1[StartSide],0)</f>
        <v>R</v>
      </c>
      <c r="L673" t="str">
        <f t="shared" si="52"/>
        <v>L</v>
      </c>
      <c r="M673" t="str">
        <f t="shared" si="53"/>
        <v>PS2_E07_4_L</v>
      </c>
    </row>
    <row r="674" spans="1:13" x14ac:dyDescent="0.25">
      <c r="A674" t="s">
        <v>681</v>
      </c>
      <c r="B674" t="s">
        <v>769</v>
      </c>
      <c r="C674" t="s">
        <v>759</v>
      </c>
      <c r="D674">
        <v>4</v>
      </c>
      <c r="E674" t="s">
        <v>752</v>
      </c>
      <c r="F674" t="s">
        <v>780</v>
      </c>
      <c r="G674" t="str">
        <f t="shared" si="54"/>
        <v>E</v>
      </c>
      <c r="H674">
        <f>_xlfn.XLOOKUP(Table2[[#This Row],[Zone]],Table1[Row],Table1[Max Bay],_xleta.NA,0)</f>
        <v>14</v>
      </c>
      <c r="I674" s="1" t="str">
        <f t="shared" si="50"/>
        <v>07</v>
      </c>
      <c r="J674">
        <f t="shared" si="51"/>
        <v>4</v>
      </c>
      <c r="K674" t="str">
        <f>_xlfn.XLOOKUP(Table2[[#This Row],[Row]],Table1[Row],Table1[StartSide],0)</f>
        <v>R</v>
      </c>
      <c r="L674" t="str">
        <f t="shared" si="52"/>
        <v>R</v>
      </c>
      <c r="M674" t="str">
        <f t="shared" si="53"/>
        <v>PS2_E07_4_R</v>
      </c>
    </row>
    <row r="675" spans="1:13" x14ac:dyDescent="0.25">
      <c r="A675" t="s">
        <v>682</v>
      </c>
      <c r="B675" t="s">
        <v>769</v>
      </c>
      <c r="C675" t="s">
        <v>759</v>
      </c>
      <c r="D675">
        <v>5</v>
      </c>
      <c r="E675" t="s">
        <v>751</v>
      </c>
      <c r="F675" t="s">
        <v>780</v>
      </c>
      <c r="G675" t="str">
        <f t="shared" si="54"/>
        <v>E</v>
      </c>
      <c r="H675">
        <f>_xlfn.XLOOKUP(Table2[[#This Row],[Zone]],Table1[Row],Table1[Max Bay],_xleta.NA,0)</f>
        <v>14</v>
      </c>
      <c r="I675" s="1" t="str">
        <f t="shared" si="50"/>
        <v>07</v>
      </c>
      <c r="J675">
        <f t="shared" si="51"/>
        <v>5</v>
      </c>
      <c r="K675" t="str">
        <f>_xlfn.XLOOKUP(Table2[[#This Row],[Row]],Table1[Row],Table1[StartSide],0)</f>
        <v>R</v>
      </c>
      <c r="L675" t="str">
        <f t="shared" si="52"/>
        <v>L</v>
      </c>
      <c r="M675" t="str">
        <f t="shared" si="53"/>
        <v>PS2_E07_5_L</v>
      </c>
    </row>
    <row r="676" spans="1:13" x14ac:dyDescent="0.25">
      <c r="A676" t="s">
        <v>683</v>
      </c>
      <c r="B676" t="s">
        <v>769</v>
      </c>
      <c r="C676" t="s">
        <v>759</v>
      </c>
      <c r="D676">
        <v>5</v>
      </c>
      <c r="E676" t="s">
        <v>752</v>
      </c>
      <c r="F676" t="s">
        <v>780</v>
      </c>
      <c r="G676" t="str">
        <f t="shared" si="54"/>
        <v>E</v>
      </c>
      <c r="H676">
        <f>_xlfn.XLOOKUP(Table2[[#This Row],[Zone]],Table1[Row],Table1[Max Bay],_xleta.NA,0)</f>
        <v>14</v>
      </c>
      <c r="I676" s="1" t="str">
        <f t="shared" si="50"/>
        <v>07</v>
      </c>
      <c r="J676">
        <f t="shared" si="51"/>
        <v>5</v>
      </c>
      <c r="K676" t="str">
        <f>_xlfn.XLOOKUP(Table2[[#This Row],[Row]],Table1[Row],Table1[StartSide],0)</f>
        <v>R</v>
      </c>
      <c r="L676" t="str">
        <f t="shared" si="52"/>
        <v>R</v>
      </c>
      <c r="M676" t="str">
        <f t="shared" si="53"/>
        <v>PS2_E07_5_R</v>
      </c>
    </row>
    <row r="677" spans="1:13" x14ac:dyDescent="0.25">
      <c r="A677" t="s">
        <v>684</v>
      </c>
      <c r="B677" t="s">
        <v>769</v>
      </c>
      <c r="C677" t="s">
        <v>759</v>
      </c>
      <c r="D677">
        <v>6</v>
      </c>
      <c r="E677" t="s">
        <v>752</v>
      </c>
      <c r="F677" t="s">
        <v>780</v>
      </c>
      <c r="G677" t="str">
        <f t="shared" si="54"/>
        <v>E</v>
      </c>
      <c r="H677">
        <f>_xlfn.XLOOKUP(Table2[[#This Row],[Zone]],Table1[Row],Table1[Max Bay],_xleta.NA,0)</f>
        <v>14</v>
      </c>
      <c r="I677" s="1" t="str">
        <f t="shared" si="50"/>
        <v>07</v>
      </c>
      <c r="J677">
        <f t="shared" si="51"/>
        <v>6</v>
      </c>
      <c r="K677" t="str">
        <f>_xlfn.XLOOKUP(Table2[[#This Row],[Row]],Table1[Row],Table1[StartSide],0)</f>
        <v>R</v>
      </c>
      <c r="L677" t="str">
        <f t="shared" si="52"/>
        <v>R</v>
      </c>
      <c r="M677" t="str">
        <f t="shared" si="53"/>
        <v>PS2_E07_6_R</v>
      </c>
    </row>
    <row r="678" spans="1:13" x14ac:dyDescent="0.25">
      <c r="A678" t="s">
        <v>685</v>
      </c>
      <c r="B678" t="s">
        <v>769</v>
      </c>
      <c r="C678" t="s">
        <v>760</v>
      </c>
      <c r="D678">
        <v>1</v>
      </c>
      <c r="E678" t="s">
        <v>751</v>
      </c>
      <c r="F678" t="s">
        <v>780</v>
      </c>
      <c r="G678" t="str">
        <f t="shared" si="54"/>
        <v>E</v>
      </c>
      <c r="H678">
        <f>_xlfn.XLOOKUP(Table2[[#This Row],[Zone]],Table1[Row],Table1[Max Bay],_xleta.NA,0)</f>
        <v>14</v>
      </c>
      <c r="I678" s="1" t="str">
        <f t="shared" si="50"/>
        <v>06</v>
      </c>
      <c r="J678">
        <f t="shared" si="51"/>
        <v>1</v>
      </c>
      <c r="K678" t="str">
        <f>_xlfn.XLOOKUP(Table2[[#This Row],[Row]],Table1[Row],Table1[StartSide],0)</f>
        <v>R</v>
      </c>
      <c r="L678" t="str">
        <f t="shared" si="52"/>
        <v>L</v>
      </c>
      <c r="M678" t="str">
        <f t="shared" si="53"/>
        <v>PS2_E06_1_L</v>
      </c>
    </row>
    <row r="679" spans="1:13" x14ac:dyDescent="0.25">
      <c r="A679" t="s">
        <v>686</v>
      </c>
      <c r="B679" t="s">
        <v>769</v>
      </c>
      <c r="C679" t="s">
        <v>760</v>
      </c>
      <c r="D679">
        <v>1</v>
      </c>
      <c r="E679" t="s">
        <v>752</v>
      </c>
      <c r="F679" t="s">
        <v>780</v>
      </c>
      <c r="G679" t="str">
        <f t="shared" si="54"/>
        <v>E</v>
      </c>
      <c r="H679">
        <f>_xlfn.XLOOKUP(Table2[[#This Row],[Zone]],Table1[Row],Table1[Max Bay],_xleta.NA,0)</f>
        <v>14</v>
      </c>
      <c r="I679" s="1" t="str">
        <f t="shared" si="50"/>
        <v>06</v>
      </c>
      <c r="J679">
        <f t="shared" si="51"/>
        <v>1</v>
      </c>
      <c r="K679" t="str">
        <f>_xlfn.XLOOKUP(Table2[[#This Row],[Row]],Table1[Row],Table1[StartSide],0)</f>
        <v>R</v>
      </c>
      <c r="L679" t="str">
        <f t="shared" si="52"/>
        <v>R</v>
      </c>
      <c r="M679" t="str">
        <f t="shared" si="53"/>
        <v>PS2_E06_1_R</v>
      </c>
    </row>
    <row r="680" spans="1:13" x14ac:dyDescent="0.25">
      <c r="A680" t="s">
        <v>687</v>
      </c>
      <c r="B680" t="s">
        <v>769</v>
      </c>
      <c r="C680" t="s">
        <v>760</v>
      </c>
      <c r="D680">
        <v>2</v>
      </c>
      <c r="E680" t="s">
        <v>751</v>
      </c>
      <c r="F680" t="s">
        <v>780</v>
      </c>
      <c r="G680" t="str">
        <f t="shared" si="54"/>
        <v>E</v>
      </c>
      <c r="H680">
        <f>_xlfn.XLOOKUP(Table2[[#This Row],[Zone]],Table1[Row],Table1[Max Bay],_xleta.NA,0)</f>
        <v>14</v>
      </c>
      <c r="I680" s="1" t="str">
        <f t="shared" si="50"/>
        <v>06</v>
      </c>
      <c r="J680">
        <f t="shared" si="51"/>
        <v>2</v>
      </c>
      <c r="K680" t="str">
        <f>_xlfn.XLOOKUP(Table2[[#This Row],[Row]],Table1[Row],Table1[StartSide],0)</f>
        <v>R</v>
      </c>
      <c r="L680" t="str">
        <f t="shared" si="52"/>
        <v>L</v>
      </c>
      <c r="M680" t="str">
        <f t="shared" si="53"/>
        <v>PS2_E06_2_L</v>
      </c>
    </row>
    <row r="681" spans="1:13" x14ac:dyDescent="0.25">
      <c r="A681" t="s">
        <v>688</v>
      </c>
      <c r="B681" t="s">
        <v>769</v>
      </c>
      <c r="C681" t="s">
        <v>760</v>
      </c>
      <c r="D681">
        <v>2</v>
      </c>
      <c r="E681" t="s">
        <v>752</v>
      </c>
      <c r="F681" t="s">
        <v>780</v>
      </c>
      <c r="G681" t="str">
        <f t="shared" si="54"/>
        <v>E</v>
      </c>
      <c r="H681">
        <f>_xlfn.XLOOKUP(Table2[[#This Row],[Zone]],Table1[Row],Table1[Max Bay],_xleta.NA,0)</f>
        <v>14</v>
      </c>
      <c r="I681" s="1" t="str">
        <f t="shared" si="50"/>
        <v>06</v>
      </c>
      <c r="J681">
        <f t="shared" si="51"/>
        <v>2</v>
      </c>
      <c r="K681" t="str">
        <f>_xlfn.XLOOKUP(Table2[[#This Row],[Row]],Table1[Row],Table1[StartSide],0)</f>
        <v>R</v>
      </c>
      <c r="L681" t="str">
        <f t="shared" si="52"/>
        <v>R</v>
      </c>
      <c r="M681" t="str">
        <f t="shared" si="53"/>
        <v>PS2_E06_2_R</v>
      </c>
    </row>
    <row r="682" spans="1:13" x14ac:dyDescent="0.25">
      <c r="A682" t="s">
        <v>689</v>
      </c>
      <c r="B682" t="s">
        <v>769</v>
      </c>
      <c r="C682" t="s">
        <v>760</v>
      </c>
      <c r="D682">
        <v>3</v>
      </c>
      <c r="E682" t="s">
        <v>751</v>
      </c>
      <c r="F682" t="s">
        <v>780</v>
      </c>
      <c r="G682" t="str">
        <f t="shared" si="54"/>
        <v>E</v>
      </c>
      <c r="H682">
        <f>_xlfn.XLOOKUP(Table2[[#This Row],[Zone]],Table1[Row],Table1[Max Bay],_xleta.NA,0)</f>
        <v>14</v>
      </c>
      <c r="I682" s="1" t="str">
        <f t="shared" si="50"/>
        <v>06</v>
      </c>
      <c r="J682">
        <f t="shared" si="51"/>
        <v>3</v>
      </c>
      <c r="K682" t="str">
        <f>_xlfn.XLOOKUP(Table2[[#This Row],[Row]],Table1[Row],Table1[StartSide],0)</f>
        <v>R</v>
      </c>
      <c r="L682" t="str">
        <f t="shared" si="52"/>
        <v>L</v>
      </c>
      <c r="M682" t="str">
        <f t="shared" si="53"/>
        <v>PS2_E06_3_L</v>
      </c>
    </row>
    <row r="683" spans="1:13" x14ac:dyDescent="0.25">
      <c r="A683" t="s">
        <v>690</v>
      </c>
      <c r="B683" t="s">
        <v>769</v>
      </c>
      <c r="C683" t="s">
        <v>760</v>
      </c>
      <c r="D683">
        <v>3</v>
      </c>
      <c r="E683" t="s">
        <v>752</v>
      </c>
      <c r="F683" t="s">
        <v>780</v>
      </c>
      <c r="G683" t="str">
        <f t="shared" si="54"/>
        <v>E</v>
      </c>
      <c r="H683">
        <f>_xlfn.XLOOKUP(Table2[[#This Row],[Zone]],Table1[Row],Table1[Max Bay],_xleta.NA,0)</f>
        <v>14</v>
      </c>
      <c r="I683" s="1" t="str">
        <f t="shared" si="50"/>
        <v>06</v>
      </c>
      <c r="J683">
        <f t="shared" si="51"/>
        <v>3</v>
      </c>
      <c r="K683" t="str">
        <f>_xlfn.XLOOKUP(Table2[[#This Row],[Row]],Table1[Row],Table1[StartSide],0)</f>
        <v>R</v>
      </c>
      <c r="L683" t="str">
        <f t="shared" si="52"/>
        <v>R</v>
      </c>
      <c r="M683" t="str">
        <f t="shared" si="53"/>
        <v>PS2_E06_3_R</v>
      </c>
    </row>
    <row r="684" spans="1:13" x14ac:dyDescent="0.25">
      <c r="A684" t="s">
        <v>691</v>
      </c>
      <c r="B684" t="s">
        <v>769</v>
      </c>
      <c r="C684" t="s">
        <v>760</v>
      </c>
      <c r="D684">
        <v>4</v>
      </c>
      <c r="E684" t="s">
        <v>751</v>
      </c>
      <c r="F684" t="s">
        <v>780</v>
      </c>
      <c r="G684" t="str">
        <f t="shared" si="54"/>
        <v>E</v>
      </c>
      <c r="H684">
        <f>_xlfn.XLOOKUP(Table2[[#This Row],[Zone]],Table1[Row],Table1[Max Bay],_xleta.NA,0)</f>
        <v>14</v>
      </c>
      <c r="I684" s="1" t="str">
        <f t="shared" si="50"/>
        <v>06</v>
      </c>
      <c r="J684">
        <f t="shared" si="51"/>
        <v>4</v>
      </c>
      <c r="K684" t="str">
        <f>_xlfn.XLOOKUP(Table2[[#This Row],[Row]],Table1[Row],Table1[StartSide],0)</f>
        <v>R</v>
      </c>
      <c r="L684" t="str">
        <f t="shared" si="52"/>
        <v>L</v>
      </c>
      <c r="M684" t="str">
        <f t="shared" si="53"/>
        <v>PS2_E06_4_L</v>
      </c>
    </row>
    <row r="685" spans="1:13" x14ac:dyDescent="0.25">
      <c r="A685" t="s">
        <v>692</v>
      </c>
      <c r="B685" t="s">
        <v>769</v>
      </c>
      <c r="C685" t="s">
        <v>760</v>
      </c>
      <c r="D685">
        <v>4</v>
      </c>
      <c r="E685" t="s">
        <v>752</v>
      </c>
      <c r="F685" t="s">
        <v>780</v>
      </c>
      <c r="G685" t="str">
        <f t="shared" si="54"/>
        <v>E</v>
      </c>
      <c r="H685">
        <f>_xlfn.XLOOKUP(Table2[[#This Row],[Zone]],Table1[Row],Table1[Max Bay],_xleta.NA,0)</f>
        <v>14</v>
      </c>
      <c r="I685" s="1" t="str">
        <f t="shared" si="50"/>
        <v>06</v>
      </c>
      <c r="J685">
        <f t="shared" si="51"/>
        <v>4</v>
      </c>
      <c r="K685" t="str">
        <f>_xlfn.XLOOKUP(Table2[[#This Row],[Row]],Table1[Row],Table1[StartSide],0)</f>
        <v>R</v>
      </c>
      <c r="L685" t="str">
        <f t="shared" si="52"/>
        <v>R</v>
      </c>
      <c r="M685" t="str">
        <f t="shared" si="53"/>
        <v>PS2_E06_4_R</v>
      </c>
    </row>
    <row r="686" spans="1:13" x14ac:dyDescent="0.25">
      <c r="A686" t="s">
        <v>693</v>
      </c>
      <c r="B686" t="s">
        <v>769</v>
      </c>
      <c r="C686" t="s">
        <v>760</v>
      </c>
      <c r="D686">
        <v>5</v>
      </c>
      <c r="E686" t="s">
        <v>751</v>
      </c>
      <c r="F686" t="s">
        <v>780</v>
      </c>
      <c r="G686" t="str">
        <f t="shared" si="54"/>
        <v>E</v>
      </c>
      <c r="H686">
        <f>_xlfn.XLOOKUP(Table2[[#This Row],[Zone]],Table1[Row],Table1[Max Bay],_xleta.NA,0)</f>
        <v>14</v>
      </c>
      <c r="I686" s="1" t="str">
        <f t="shared" si="50"/>
        <v>06</v>
      </c>
      <c r="J686">
        <f t="shared" si="51"/>
        <v>5</v>
      </c>
      <c r="K686" t="str">
        <f>_xlfn.XLOOKUP(Table2[[#This Row],[Row]],Table1[Row],Table1[StartSide],0)</f>
        <v>R</v>
      </c>
      <c r="L686" t="str">
        <f t="shared" si="52"/>
        <v>L</v>
      </c>
      <c r="M686" t="str">
        <f t="shared" si="53"/>
        <v>PS2_E06_5_L</v>
      </c>
    </row>
    <row r="687" spans="1:13" x14ac:dyDescent="0.25">
      <c r="A687" t="s">
        <v>694</v>
      </c>
      <c r="B687" t="s">
        <v>769</v>
      </c>
      <c r="C687" t="s">
        <v>760</v>
      </c>
      <c r="D687">
        <v>5</v>
      </c>
      <c r="E687" t="s">
        <v>752</v>
      </c>
      <c r="F687" t="s">
        <v>780</v>
      </c>
      <c r="G687" t="str">
        <f t="shared" si="54"/>
        <v>E</v>
      </c>
      <c r="H687">
        <f>_xlfn.XLOOKUP(Table2[[#This Row],[Zone]],Table1[Row],Table1[Max Bay],_xleta.NA,0)</f>
        <v>14</v>
      </c>
      <c r="I687" s="1" t="str">
        <f t="shared" si="50"/>
        <v>06</v>
      </c>
      <c r="J687">
        <f t="shared" si="51"/>
        <v>5</v>
      </c>
      <c r="K687" t="str">
        <f>_xlfn.XLOOKUP(Table2[[#This Row],[Row]],Table1[Row],Table1[StartSide],0)</f>
        <v>R</v>
      </c>
      <c r="L687" t="str">
        <f t="shared" si="52"/>
        <v>R</v>
      </c>
      <c r="M687" t="str">
        <f t="shared" si="53"/>
        <v>PS2_E06_5_R</v>
      </c>
    </row>
    <row r="688" spans="1:13" x14ac:dyDescent="0.25">
      <c r="A688" t="s">
        <v>695</v>
      </c>
      <c r="B688" t="s">
        <v>769</v>
      </c>
      <c r="C688" t="s">
        <v>760</v>
      </c>
      <c r="D688">
        <v>6</v>
      </c>
      <c r="E688" t="s">
        <v>751</v>
      </c>
      <c r="F688" t="s">
        <v>780</v>
      </c>
      <c r="G688" t="str">
        <f t="shared" si="54"/>
        <v>E</v>
      </c>
      <c r="H688">
        <f>_xlfn.XLOOKUP(Table2[[#This Row],[Zone]],Table1[Row],Table1[Max Bay],_xleta.NA,0)</f>
        <v>14</v>
      </c>
      <c r="I688" s="1" t="str">
        <f t="shared" si="50"/>
        <v>06</v>
      </c>
      <c r="J688">
        <f t="shared" si="51"/>
        <v>6</v>
      </c>
      <c r="K688" t="str">
        <f>_xlfn.XLOOKUP(Table2[[#This Row],[Row]],Table1[Row],Table1[StartSide],0)</f>
        <v>R</v>
      </c>
      <c r="L688" t="str">
        <f t="shared" si="52"/>
        <v>L</v>
      </c>
      <c r="M688" t="str">
        <f t="shared" si="53"/>
        <v>PS2_E06_6_L</v>
      </c>
    </row>
    <row r="689" spans="1:13" x14ac:dyDescent="0.25">
      <c r="A689" t="s">
        <v>696</v>
      </c>
      <c r="B689" t="s">
        <v>769</v>
      </c>
      <c r="C689" t="s">
        <v>760</v>
      </c>
      <c r="D689">
        <v>6</v>
      </c>
      <c r="E689" t="s">
        <v>752</v>
      </c>
      <c r="F689" t="s">
        <v>780</v>
      </c>
      <c r="G689" t="str">
        <f t="shared" si="54"/>
        <v>E</v>
      </c>
      <c r="H689">
        <f>_xlfn.XLOOKUP(Table2[[#This Row],[Zone]],Table1[Row],Table1[Max Bay],_xleta.NA,0)</f>
        <v>14</v>
      </c>
      <c r="I689" s="1" t="str">
        <f t="shared" si="50"/>
        <v>06</v>
      </c>
      <c r="J689">
        <f t="shared" si="51"/>
        <v>6</v>
      </c>
      <c r="K689" t="str">
        <f>_xlfn.XLOOKUP(Table2[[#This Row],[Row]],Table1[Row],Table1[StartSide],0)</f>
        <v>R</v>
      </c>
      <c r="L689" t="str">
        <f t="shared" si="52"/>
        <v>R</v>
      </c>
      <c r="M689" t="str">
        <f t="shared" si="53"/>
        <v>PS2_E06_6_R</v>
      </c>
    </row>
    <row r="690" spans="1:13" x14ac:dyDescent="0.25">
      <c r="A690" t="s">
        <v>697</v>
      </c>
      <c r="B690" t="s">
        <v>769</v>
      </c>
      <c r="C690" t="s">
        <v>761</v>
      </c>
      <c r="D690">
        <v>1</v>
      </c>
      <c r="E690" t="s">
        <v>751</v>
      </c>
      <c r="F690" t="s">
        <v>780</v>
      </c>
      <c r="G690" t="str">
        <f t="shared" si="54"/>
        <v>E</v>
      </c>
      <c r="H690">
        <f>_xlfn.XLOOKUP(Table2[[#This Row],[Zone]],Table1[Row],Table1[Max Bay],_xleta.NA,0)</f>
        <v>14</v>
      </c>
      <c r="I690" s="1" t="str">
        <f t="shared" si="50"/>
        <v>05</v>
      </c>
      <c r="J690">
        <f t="shared" si="51"/>
        <v>1</v>
      </c>
      <c r="K690" t="str">
        <f>_xlfn.XLOOKUP(Table2[[#This Row],[Row]],Table1[Row],Table1[StartSide],0)</f>
        <v>R</v>
      </c>
      <c r="L690" t="str">
        <f t="shared" si="52"/>
        <v>L</v>
      </c>
      <c r="M690" t="str">
        <f t="shared" si="53"/>
        <v>PS2_E05_1_L</v>
      </c>
    </row>
    <row r="691" spans="1:13" x14ac:dyDescent="0.25">
      <c r="A691" t="s">
        <v>698</v>
      </c>
      <c r="B691" t="s">
        <v>769</v>
      </c>
      <c r="C691" t="s">
        <v>761</v>
      </c>
      <c r="D691">
        <v>1</v>
      </c>
      <c r="E691" t="s">
        <v>752</v>
      </c>
      <c r="F691" t="s">
        <v>780</v>
      </c>
      <c r="G691" t="str">
        <f t="shared" si="54"/>
        <v>E</v>
      </c>
      <c r="H691">
        <f>_xlfn.XLOOKUP(Table2[[#This Row],[Zone]],Table1[Row],Table1[Max Bay],_xleta.NA,0)</f>
        <v>14</v>
      </c>
      <c r="I691" s="1" t="str">
        <f t="shared" si="50"/>
        <v>05</v>
      </c>
      <c r="J691">
        <f t="shared" si="51"/>
        <v>1</v>
      </c>
      <c r="K691" t="str">
        <f>_xlfn.XLOOKUP(Table2[[#This Row],[Row]],Table1[Row],Table1[StartSide],0)</f>
        <v>R</v>
      </c>
      <c r="L691" t="str">
        <f t="shared" si="52"/>
        <v>R</v>
      </c>
      <c r="M691" t="str">
        <f t="shared" si="53"/>
        <v>PS2_E05_1_R</v>
      </c>
    </row>
    <row r="692" spans="1:13" x14ac:dyDescent="0.25">
      <c r="A692" t="s">
        <v>699</v>
      </c>
      <c r="B692" t="s">
        <v>769</v>
      </c>
      <c r="C692" t="s">
        <v>761</v>
      </c>
      <c r="D692">
        <v>2</v>
      </c>
      <c r="E692" t="s">
        <v>751</v>
      </c>
      <c r="F692" t="s">
        <v>780</v>
      </c>
      <c r="G692" t="str">
        <f t="shared" si="54"/>
        <v>E</v>
      </c>
      <c r="H692">
        <f>_xlfn.XLOOKUP(Table2[[#This Row],[Zone]],Table1[Row],Table1[Max Bay],_xleta.NA,0)</f>
        <v>14</v>
      </c>
      <c r="I692" s="1" t="str">
        <f t="shared" si="50"/>
        <v>05</v>
      </c>
      <c r="J692">
        <f t="shared" si="51"/>
        <v>2</v>
      </c>
      <c r="K692" t="str">
        <f>_xlfn.XLOOKUP(Table2[[#This Row],[Row]],Table1[Row],Table1[StartSide],0)</f>
        <v>R</v>
      </c>
      <c r="L692" t="str">
        <f t="shared" si="52"/>
        <v>L</v>
      </c>
      <c r="M692" t="str">
        <f t="shared" si="53"/>
        <v>PS2_E05_2_L</v>
      </c>
    </row>
    <row r="693" spans="1:13" x14ac:dyDescent="0.25">
      <c r="A693" t="s">
        <v>700</v>
      </c>
      <c r="B693" t="s">
        <v>769</v>
      </c>
      <c r="C693" t="s">
        <v>761</v>
      </c>
      <c r="D693">
        <v>2</v>
      </c>
      <c r="E693" t="s">
        <v>752</v>
      </c>
      <c r="F693" t="s">
        <v>780</v>
      </c>
      <c r="G693" t="str">
        <f t="shared" si="54"/>
        <v>E</v>
      </c>
      <c r="H693">
        <f>_xlfn.XLOOKUP(Table2[[#This Row],[Zone]],Table1[Row],Table1[Max Bay],_xleta.NA,0)</f>
        <v>14</v>
      </c>
      <c r="I693" s="1" t="str">
        <f t="shared" si="50"/>
        <v>05</v>
      </c>
      <c r="J693">
        <f t="shared" si="51"/>
        <v>2</v>
      </c>
      <c r="K693" t="str">
        <f>_xlfn.XLOOKUP(Table2[[#This Row],[Row]],Table1[Row],Table1[StartSide],0)</f>
        <v>R</v>
      </c>
      <c r="L693" t="str">
        <f t="shared" si="52"/>
        <v>R</v>
      </c>
      <c r="M693" t="str">
        <f t="shared" si="53"/>
        <v>PS2_E05_2_R</v>
      </c>
    </row>
    <row r="694" spans="1:13" x14ac:dyDescent="0.25">
      <c r="A694" t="s">
        <v>701</v>
      </c>
      <c r="B694" t="s">
        <v>769</v>
      </c>
      <c r="C694" t="s">
        <v>761</v>
      </c>
      <c r="D694">
        <v>3</v>
      </c>
      <c r="E694" t="s">
        <v>751</v>
      </c>
      <c r="F694" t="s">
        <v>780</v>
      </c>
      <c r="G694" t="str">
        <f t="shared" si="54"/>
        <v>E</v>
      </c>
      <c r="H694">
        <f>_xlfn.XLOOKUP(Table2[[#This Row],[Zone]],Table1[Row],Table1[Max Bay],_xleta.NA,0)</f>
        <v>14</v>
      </c>
      <c r="I694" s="1" t="str">
        <f t="shared" si="50"/>
        <v>05</v>
      </c>
      <c r="J694">
        <f t="shared" si="51"/>
        <v>3</v>
      </c>
      <c r="K694" t="str">
        <f>_xlfn.XLOOKUP(Table2[[#This Row],[Row]],Table1[Row],Table1[StartSide],0)</f>
        <v>R</v>
      </c>
      <c r="L694" t="str">
        <f t="shared" si="52"/>
        <v>L</v>
      </c>
      <c r="M694" t="str">
        <f t="shared" si="53"/>
        <v>PS2_E05_3_L</v>
      </c>
    </row>
    <row r="695" spans="1:13" x14ac:dyDescent="0.25">
      <c r="A695" t="s">
        <v>702</v>
      </c>
      <c r="B695" t="s">
        <v>769</v>
      </c>
      <c r="C695" t="s">
        <v>761</v>
      </c>
      <c r="D695">
        <v>3</v>
      </c>
      <c r="E695" t="s">
        <v>752</v>
      </c>
      <c r="F695" t="s">
        <v>780</v>
      </c>
      <c r="G695" t="str">
        <f t="shared" si="54"/>
        <v>E</v>
      </c>
      <c r="H695">
        <f>_xlfn.XLOOKUP(Table2[[#This Row],[Zone]],Table1[Row],Table1[Max Bay],_xleta.NA,0)</f>
        <v>14</v>
      </c>
      <c r="I695" s="1" t="str">
        <f t="shared" si="50"/>
        <v>05</v>
      </c>
      <c r="J695">
        <f t="shared" si="51"/>
        <v>3</v>
      </c>
      <c r="K695" t="str">
        <f>_xlfn.XLOOKUP(Table2[[#This Row],[Row]],Table1[Row],Table1[StartSide],0)</f>
        <v>R</v>
      </c>
      <c r="L695" t="str">
        <f t="shared" si="52"/>
        <v>R</v>
      </c>
      <c r="M695" t="str">
        <f t="shared" si="53"/>
        <v>PS2_E05_3_R</v>
      </c>
    </row>
    <row r="696" spans="1:13" x14ac:dyDescent="0.25">
      <c r="A696" t="s">
        <v>703</v>
      </c>
      <c r="B696" t="s">
        <v>769</v>
      </c>
      <c r="C696" t="s">
        <v>761</v>
      </c>
      <c r="D696">
        <v>4</v>
      </c>
      <c r="E696" t="s">
        <v>751</v>
      </c>
      <c r="F696" t="s">
        <v>780</v>
      </c>
      <c r="G696" t="str">
        <f t="shared" si="54"/>
        <v>E</v>
      </c>
      <c r="H696">
        <f>_xlfn.XLOOKUP(Table2[[#This Row],[Zone]],Table1[Row],Table1[Max Bay],_xleta.NA,0)</f>
        <v>14</v>
      </c>
      <c r="I696" s="1" t="str">
        <f t="shared" si="50"/>
        <v>05</v>
      </c>
      <c r="J696">
        <f t="shared" si="51"/>
        <v>4</v>
      </c>
      <c r="K696" t="str">
        <f>_xlfn.XLOOKUP(Table2[[#This Row],[Row]],Table1[Row],Table1[StartSide],0)</f>
        <v>R</v>
      </c>
      <c r="L696" t="str">
        <f t="shared" si="52"/>
        <v>L</v>
      </c>
      <c r="M696" t="str">
        <f t="shared" si="53"/>
        <v>PS2_E05_4_L</v>
      </c>
    </row>
    <row r="697" spans="1:13" x14ac:dyDescent="0.25">
      <c r="A697" t="s">
        <v>704</v>
      </c>
      <c r="B697" t="s">
        <v>769</v>
      </c>
      <c r="C697" t="s">
        <v>761</v>
      </c>
      <c r="D697">
        <v>4</v>
      </c>
      <c r="E697" t="s">
        <v>752</v>
      </c>
      <c r="F697" t="s">
        <v>780</v>
      </c>
      <c r="G697" t="str">
        <f t="shared" si="54"/>
        <v>E</v>
      </c>
      <c r="H697">
        <f>_xlfn.XLOOKUP(Table2[[#This Row],[Zone]],Table1[Row],Table1[Max Bay],_xleta.NA,0)</f>
        <v>14</v>
      </c>
      <c r="I697" s="1" t="str">
        <f t="shared" si="50"/>
        <v>05</v>
      </c>
      <c r="J697">
        <f t="shared" si="51"/>
        <v>4</v>
      </c>
      <c r="K697" t="str">
        <f>_xlfn.XLOOKUP(Table2[[#This Row],[Row]],Table1[Row],Table1[StartSide],0)</f>
        <v>R</v>
      </c>
      <c r="L697" t="str">
        <f t="shared" si="52"/>
        <v>R</v>
      </c>
      <c r="M697" t="str">
        <f t="shared" si="53"/>
        <v>PS2_E05_4_R</v>
      </c>
    </row>
    <row r="698" spans="1:13" x14ac:dyDescent="0.25">
      <c r="A698" t="s">
        <v>705</v>
      </c>
      <c r="B698" t="s">
        <v>769</v>
      </c>
      <c r="C698" t="s">
        <v>761</v>
      </c>
      <c r="D698">
        <v>5</v>
      </c>
      <c r="E698" t="s">
        <v>751</v>
      </c>
      <c r="F698" t="s">
        <v>780</v>
      </c>
      <c r="G698" t="str">
        <f t="shared" si="54"/>
        <v>E</v>
      </c>
      <c r="H698">
        <f>_xlfn.XLOOKUP(Table2[[#This Row],[Zone]],Table1[Row],Table1[Max Bay],_xleta.NA,0)</f>
        <v>14</v>
      </c>
      <c r="I698" s="1" t="str">
        <f t="shared" si="50"/>
        <v>05</v>
      </c>
      <c r="J698">
        <f t="shared" si="51"/>
        <v>5</v>
      </c>
      <c r="K698" t="str">
        <f>_xlfn.XLOOKUP(Table2[[#This Row],[Row]],Table1[Row],Table1[StartSide],0)</f>
        <v>R</v>
      </c>
      <c r="L698" t="str">
        <f t="shared" si="52"/>
        <v>L</v>
      </c>
      <c r="M698" t="str">
        <f t="shared" si="53"/>
        <v>PS2_E05_5_L</v>
      </c>
    </row>
    <row r="699" spans="1:13" x14ac:dyDescent="0.25">
      <c r="A699" t="s">
        <v>706</v>
      </c>
      <c r="B699" t="s">
        <v>769</v>
      </c>
      <c r="C699" t="s">
        <v>761</v>
      </c>
      <c r="D699">
        <v>5</v>
      </c>
      <c r="E699" t="s">
        <v>752</v>
      </c>
      <c r="F699" t="s">
        <v>780</v>
      </c>
      <c r="G699" t="str">
        <f t="shared" si="54"/>
        <v>E</v>
      </c>
      <c r="H699">
        <f>_xlfn.XLOOKUP(Table2[[#This Row],[Zone]],Table1[Row],Table1[Max Bay],_xleta.NA,0)</f>
        <v>14</v>
      </c>
      <c r="I699" s="1" t="str">
        <f t="shared" si="50"/>
        <v>05</v>
      </c>
      <c r="J699">
        <f t="shared" si="51"/>
        <v>5</v>
      </c>
      <c r="K699" t="str">
        <f>_xlfn.XLOOKUP(Table2[[#This Row],[Row]],Table1[Row],Table1[StartSide],0)</f>
        <v>R</v>
      </c>
      <c r="L699" t="str">
        <f t="shared" si="52"/>
        <v>R</v>
      </c>
      <c r="M699" t="str">
        <f t="shared" si="53"/>
        <v>PS2_E05_5_R</v>
      </c>
    </row>
    <row r="700" spans="1:13" x14ac:dyDescent="0.25">
      <c r="A700" t="s">
        <v>707</v>
      </c>
      <c r="B700" t="s">
        <v>769</v>
      </c>
      <c r="C700" t="s">
        <v>761</v>
      </c>
      <c r="D700">
        <v>6</v>
      </c>
      <c r="E700" t="s">
        <v>751</v>
      </c>
      <c r="F700" t="s">
        <v>780</v>
      </c>
      <c r="G700" t="str">
        <f t="shared" si="54"/>
        <v>E</v>
      </c>
      <c r="H700">
        <f>_xlfn.XLOOKUP(Table2[[#This Row],[Zone]],Table1[Row],Table1[Max Bay],_xleta.NA,0)</f>
        <v>14</v>
      </c>
      <c r="I700" s="1" t="str">
        <f t="shared" si="50"/>
        <v>05</v>
      </c>
      <c r="J700">
        <f t="shared" si="51"/>
        <v>6</v>
      </c>
      <c r="K700" t="str">
        <f>_xlfn.XLOOKUP(Table2[[#This Row],[Row]],Table1[Row],Table1[StartSide],0)</f>
        <v>R</v>
      </c>
      <c r="L700" t="str">
        <f t="shared" si="52"/>
        <v>L</v>
      </c>
      <c r="M700" t="str">
        <f t="shared" si="53"/>
        <v>PS2_E05_6_L</v>
      </c>
    </row>
    <row r="701" spans="1:13" x14ac:dyDescent="0.25">
      <c r="A701" t="s">
        <v>708</v>
      </c>
      <c r="B701" t="s">
        <v>769</v>
      </c>
      <c r="C701" t="s">
        <v>761</v>
      </c>
      <c r="D701">
        <v>6</v>
      </c>
      <c r="E701" t="s">
        <v>752</v>
      </c>
      <c r="F701" t="s">
        <v>780</v>
      </c>
      <c r="G701" t="str">
        <f t="shared" si="54"/>
        <v>E</v>
      </c>
      <c r="H701">
        <f>_xlfn.XLOOKUP(Table2[[#This Row],[Zone]],Table1[Row],Table1[Max Bay],_xleta.NA,0)</f>
        <v>14</v>
      </c>
      <c r="I701" s="1" t="str">
        <f t="shared" si="50"/>
        <v>05</v>
      </c>
      <c r="J701">
        <f t="shared" si="51"/>
        <v>6</v>
      </c>
      <c r="K701" t="str">
        <f>_xlfn.XLOOKUP(Table2[[#This Row],[Row]],Table1[Row],Table1[StartSide],0)</f>
        <v>R</v>
      </c>
      <c r="L701" t="str">
        <f t="shared" si="52"/>
        <v>R</v>
      </c>
      <c r="M701" t="str">
        <f t="shared" si="53"/>
        <v>PS2_E05_6_R</v>
      </c>
    </row>
    <row r="702" spans="1:13" x14ac:dyDescent="0.25">
      <c r="A702" t="s">
        <v>709</v>
      </c>
      <c r="B702" t="s">
        <v>769</v>
      </c>
      <c r="C702" t="s">
        <v>762</v>
      </c>
      <c r="D702">
        <v>1</v>
      </c>
      <c r="E702" t="s">
        <v>751</v>
      </c>
      <c r="F702" t="s">
        <v>780</v>
      </c>
      <c r="G702" t="str">
        <f t="shared" si="54"/>
        <v>E</v>
      </c>
      <c r="H702">
        <f>_xlfn.XLOOKUP(Table2[[#This Row],[Zone]],Table1[Row],Table1[Max Bay],_xleta.NA,0)</f>
        <v>14</v>
      </c>
      <c r="I702" s="1" t="str">
        <f t="shared" si="50"/>
        <v>04</v>
      </c>
      <c r="J702">
        <f t="shared" si="51"/>
        <v>1</v>
      </c>
      <c r="K702" t="str">
        <f>_xlfn.XLOOKUP(Table2[[#This Row],[Row]],Table1[Row],Table1[StartSide],0)</f>
        <v>R</v>
      </c>
      <c r="L702" t="str">
        <f t="shared" si="52"/>
        <v>L</v>
      </c>
      <c r="M702" t="str">
        <f t="shared" si="53"/>
        <v>PS2_E04_1_L</v>
      </c>
    </row>
    <row r="703" spans="1:13" x14ac:dyDescent="0.25">
      <c r="A703" t="s">
        <v>710</v>
      </c>
      <c r="B703" t="s">
        <v>769</v>
      </c>
      <c r="C703" t="s">
        <v>762</v>
      </c>
      <c r="D703">
        <v>1</v>
      </c>
      <c r="E703" t="s">
        <v>752</v>
      </c>
      <c r="F703" t="s">
        <v>780</v>
      </c>
      <c r="G703" t="str">
        <f t="shared" si="54"/>
        <v>E</v>
      </c>
      <c r="H703">
        <f>_xlfn.XLOOKUP(Table2[[#This Row],[Zone]],Table1[Row],Table1[Max Bay],_xleta.NA,0)</f>
        <v>14</v>
      </c>
      <c r="I703" s="1" t="str">
        <f t="shared" si="50"/>
        <v>04</v>
      </c>
      <c r="J703">
        <f t="shared" si="51"/>
        <v>1</v>
      </c>
      <c r="K703" t="str">
        <f>_xlfn.XLOOKUP(Table2[[#This Row],[Row]],Table1[Row],Table1[StartSide],0)</f>
        <v>R</v>
      </c>
      <c r="L703" t="str">
        <f t="shared" si="52"/>
        <v>R</v>
      </c>
      <c r="M703" t="str">
        <f t="shared" si="53"/>
        <v>PS2_E04_1_R</v>
      </c>
    </row>
    <row r="704" spans="1:13" x14ac:dyDescent="0.25">
      <c r="A704" t="s">
        <v>711</v>
      </c>
      <c r="B704" t="s">
        <v>769</v>
      </c>
      <c r="C704" t="s">
        <v>762</v>
      </c>
      <c r="D704">
        <v>2</v>
      </c>
      <c r="E704" t="s">
        <v>751</v>
      </c>
      <c r="F704" t="s">
        <v>780</v>
      </c>
      <c r="G704" t="str">
        <f t="shared" si="54"/>
        <v>E</v>
      </c>
      <c r="H704">
        <f>_xlfn.XLOOKUP(Table2[[#This Row],[Zone]],Table1[Row],Table1[Max Bay],_xleta.NA,0)</f>
        <v>14</v>
      </c>
      <c r="I704" s="1" t="str">
        <f t="shared" si="50"/>
        <v>04</v>
      </c>
      <c r="J704">
        <f t="shared" si="51"/>
        <v>2</v>
      </c>
      <c r="K704" t="str">
        <f>_xlfn.XLOOKUP(Table2[[#This Row],[Row]],Table1[Row],Table1[StartSide],0)</f>
        <v>R</v>
      </c>
      <c r="L704" t="str">
        <f t="shared" si="52"/>
        <v>L</v>
      </c>
      <c r="M704" t="str">
        <f t="shared" si="53"/>
        <v>PS2_E04_2_L</v>
      </c>
    </row>
    <row r="705" spans="1:13" x14ac:dyDescent="0.25">
      <c r="A705" t="s">
        <v>712</v>
      </c>
      <c r="B705" t="s">
        <v>769</v>
      </c>
      <c r="C705" t="s">
        <v>762</v>
      </c>
      <c r="D705">
        <v>2</v>
      </c>
      <c r="E705" t="s">
        <v>752</v>
      </c>
      <c r="F705" t="s">
        <v>780</v>
      </c>
      <c r="G705" t="str">
        <f t="shared" si="54"/>
        <v>E</v>
      </c>
      <c r="H705">
        <f>_xlfn.XLOOKUP(Table2[[#This Row],[Zone]],Table1[Row],Table1[Max Bay],_xleta.NA,0)</f>
        <v>14</v>
      </c>
      <c r="I705" s="1" t="str">
        <f t="shared" si="50"/>
        <v>04</v>
      </c>
      <c r="J705">
        <f t="shared" si="51"/>
        <v>2</v>
      </c>
      <c r="K705" t="str">
        <f>_xlfn.XLOOKUP(Table2[[#This Row],[Row]],Table1[Row],Table1[StartSide],0)</f>
        <v>R</v>
      </c>
      <c r="L705" t="str">
        <f t="shared" si="52"/>
        <v>R</v>
      </c>
      <c r="M705" t="str">
        <f t="shared" si="53"/>
        <v>PS2_E04_2_R</v>
      </c>
    </row>
    <row r="706" spans="1:13" x14ac:dyDescent="0.25">
      <c r="A706" t="s">
        <v>713</v>
      </c>
      <c r="B706" t="s">
        <v>769</v>
      </c>
      <c r="C706" t="s">
        <v>762</v>
      </c>
      <c r="D706">
        <v>3</v>
      </c>
      <c r="E706" t="s">
        <v>751</v>
      </c>
      <c r="F706" t="s">
        <v>780</v>
      </c>
      <c r="G706" t="str">
        <f t="shared" si="54"/>
        <v>E</v>
      </c>
      <c r="H706">
        <f>_xlfn.XLOOKUP(Table2[[#This Row],[Zone]],Table1[Row],Table1[Max Bay],_xleta.NA,0)</f>
        <v>14</v>
      </c>
      <c r="I706" s="1" t="str">
        <f t="shared" ref="I706:I769" si="55">TEXT(H706-INT(C706)+1,"00")</f>
        <v>04</v>
      </c>
      <c r="J706">
        <f t="shared" ref="J706:J741" si="56">D706</f>
        <v>3</v>
      </c>
      <c r="K706" t="str">
        <f>_xlfn.XLOOKUP(Table2[[#This Row],[Row]],Table1[Row],Table1[StartSide],0)</f>
        <v>R</v>
      </c>
      <c r="L706" t="str">
        <f t="shared" ref="L706:L741" si="57">E706</f>
        <v>L</v>
      </c>
      <c r="M706" t="str">
        <f t="shared" ref="M706:M769" si="58">_xlfn.CONCAT(F706,"_",G706,I706,"_",J706,"_",L706)</f>
        <v>PS2_E04_3_L</v>
      </c>
    </row>
    <row r="707" spans="1:13" x14ac:dyDescent="0.25">
      <c r="A707" t="s">
        <v>714</v>
      </c>
      <c r="B707" t="s">
        <v>769</v>
      </c>
      <c r="C707" t="s">
        <v>762</v>
      </c>
      <c r="D707">
        <v>3</v>
      </c>
      <c r="E707" t="s">
        <v>752</v>
      </c>
      <c r="F707" t="s">
        <v>780</v>
      </c>
      <c r="G707" t="str">
        <f t="shared" ref="G707:G741" si="59">B707</f>
        <v>E</v>
      </c>
      <c r="H707">
        <f>_xlfn.XLOOKUP(Table2[[#This Row],[Zone]],Table1[Row],Table1[Max Bay],_xleta.NA,0)</f>
        <v>14</v>
      </c>
      <c r="I707" s="1" t="str">
        <f t="shared" si="55"/>
        <v>04</v>
      </c>
      <c r="J707">
        <f t="shared" si="56"/>
        <v>3</v>
      </c>
      <c r="K707" t="str">
        <f>_xlfn.XLOOKUP(Table2[[#This Row],[Row]],Table1[Row],Table1[StartSide],0)</f>
        <v>R</v>
      </c>
      <c r="L707" t="str">
        <f t="shared" si="57"/>
        <v>R</v>
      </c>
      <c r="M707" t="str">
        <f t="shared" si="58"/>
        <v>PS2_E04_3_R</v>
      </c>
    </row>
    <row r="708" spans="1:13" x14ac:dyDescent="0.25">
      <c r="A708" t="s">
        <v>715</v>
      </c>
      <c r="B708" t="s">
        <v>769</v>
      </c>
      <c r="C708" t="s">
        <v>762</v>
      </c>
      <c r="D708">
        <v>4</v>
      </c>
      <c r="E708" t="s">
        <v>751</v>
      </c>
      <c r="F708" t="s">
        <v>780</v>
      </c>
      <c r="G708" t="str">
        <f t="shared" si="59"/>
        <v>E</v>
      </c>
      <c r="H708">
        <f>_xlfn.XLOOKUP(Table2[[#This Row],[Zone]],Table1[Row],Table1[Max Bay],_xleta.NA,0)</f>
        <v>14</v>
      </c>
      <c r="I708" s="1" t="str">
        <f t="shared" si="55"/>
        <v>04</v>
      </c>
      <c r="J708">
        <f t="shared" si="56"/>
        <v>4</v>
      </c>
      <c r="K708" t="str">
        <f>_xlfn.XLOOKUP(Table2[[#This Row],[Row]],Table1[Row],Table1[StartSide],0)</f>
        <v>R</v>
      </c>
      <c r="L708" t="str">
        <f t="shared" si="57"/>
        <v>L</v>
      </c>
      <c r="M708" t="str">
        <f t="shared" si="58"/>
        <v>PS2_E04_4_L</v>
      </c>
    </row>
    <row r="709" spans="1:13" x14ac:dyDescent="0.25">
      <c r="A709" t="s">
        <v>716</v>
      </c>
      <c r="B709" t="s">
        <v>769</v>
      </c>
      <c r="C709" t="s">
        <v>762</v>
      </c>
      <c r="D709">
        <v>4</v>
      </c>
      <c r="E709" t="s">
        <v>752</v>
      </c>
      <c r="F709" t="s">
        <v>780</v>
      </c>
      <c r="G709" t="str">
        <f t="shared" si="59"/>
        <v>E</v>
      </c>
      <c r="H709">
        <f>_xlfn.XLOOKUP(Table2[[#This Row],[Zone]],Table1[Row],Table1[Max Bay],_xleta.NA,0)</f>
        <v>14</v>
      </c>
      <c r="I709" s="1" t="str">
        <f t="shared" si="55"/>
        <v>04</v>
      </c>
      <c r="J709">
        <f t="shared" si="56"/>
        <v>4</v>
      </c>
      <c r="K709" t="str">
        <f>_xlfn.XLOOKUP(Table2[[#This Row],[Row]],Table1[Row],Table1[StartSide],0)</f>
        <v>R</v>
      </c>
      <c r="L709" t="str">
        <f t="shared" si="57"/>
        <v>R</v>
      </c>
      <c r="M709" t="str">
        <f t="shared" si="58"/>
        <v>PS2_E04_4_R</v>
      </c>
    </row>
    <row r="710" spans="1:13" x14ac:dyDescent="0.25">
      <c r="A710" t="s">
        <v>717</v>
      </c>
      <c r="B710" t="s">
        <v>769</v>
      </c>
      <c r="C710" t="s">
        <v>762</v>
      </c>
      <c r="D710">
        <v>5</v>
      </c>
      <c r="E710" t="s">
        <v>751</v>
      </c>
      <c r="F710" t="s">
        <v>780</v>
      </c>
      <c r="G710" t="str">
        <f t="shared" si="59"/>
        <v>E</v>
      </c>
      <c r="H710">
        <f>_xlfn.XLOOKUP(Table2[[#This Row],[Zone]],Table1[Row],Table1[Max Bay],_xleta.NA,0)</f>
        <v>14</v>
      </c>
      <c r="I710" s="1" t="str">
        <f t="shared" si="55"/>
        <v>04</v>
      </c>
      <c r="J710">
        <f t="shared" si="56"/>
        <v>5</v>
      </c>
      <c r="K710" t="str">
        <f>_xlfn.XLOOKUP(Table2[[#This Row],[Row]],Table1[Row],Table1[StartSide],0)</f>
        <v>R</v>
      </c>
      <c r="L710" t="str">
        <f t="shared" si="57"/>
        <v>L</v>
      </c>
      <c r="M710" t="str">
        <f t="shared" si="58"/>
        <v>PS2_E04_5_L</v>
      </c>
    </row>
    <row r="711" spans="1:13" x14ac:dyDescent="0.25">
      <c r="A711" t="s">
        <v>718</v>
      </c>
      <c r="B711" t="s">
        <v>769</v>
      </c>
      <c r="C711" t="s">
        <v>762</v>
      </c>
      <c r="D711">
        <v>5</v>
      </c>
      <c r="E711" t="s">
        <v>752</v>
      </c>
      <c r="F711" t="s">
        <v>780</v>
      </c>
      <c r="G711" t="str">
        <f t="shared" si="59"/>
        <v>E</v>
      </c>
      <c r="H711">
        <f>_xlfn.XLOOKUP(Table2[[#This Row],[Zone]],Table1[Row],Table1[Max Bay],_xleta.NA,0)</f>
        <v>14</v>
      </c>
      <c r="I711" s="1" t="str">
        <f t="shared" si="55"/>
        <v>04</v>
      </c>
      <c r="J711">
        <f t="shared" si="56"/>
        <v>5</v>
      </c>
      <c r="K711" t="str">
        <f>_xlfn.XLOOKUP(Table2[[#This Row],[Row]],Table1[Row],Table1[StartSide],0)</f>
        <v>R</v>
      </c>
      <c r="L711" t="str">
        <f t="shared" si="57"/>
        <v>R</v>
      </c>
      <c r="M711" t="str">
        <f t="shared" si="58"/>
        <v>PS2_E04_5_R</v>
      </c>
    </row>
    <row r="712" spans="1:13" x14ac:dyDescent="0.25">
      <c r="A712" t="s">
        <v>719</v>
      </c>
      <c r="B712" t="s">
        <v>769</v>
      </c>
      <c r="C712" t="s">
        <v>762</v>
      </c>
      <c r="D712">
        <v>6</v>
      </c>
      <c r="E712" t="s">
        <v>751</v>
      </c>
      <c r="F712" t="s">
        <v>780</v>
      </c>
      <c r="G712" t="str">
        <f t="shared" si="59"/>
        <v>E</v>
      </c>
      <c r="H712">
        <f>_xlfn.XLOOKUP(Table2[[#This Row],[Zone]],Table1[Row],Table1[Max Bay],_xleta.NA,0)</f>
        <v>14</v>
      </c>
      <c r="I712" s="1" t="str">
        <f t="shared" si="55"/>
        <v>04</v>
      </c>
      <c r="J712">
        <f t="shared" si="56"/>
        <v>6</v>
      </c>
      <c r="K712" t="str">
        <f>_xlfn.XLOOKUP(Table2[[#This Row],[Row]],Table1[Row],Table1[StartSide],0)</f>
        <v>R</v>
      </c>
      <c r="L712" t="str">
        <f t="shared" si="57"/>
        <v>L</v>
      </c>
      <c r="M712" t="str">
        <f t="shared" si="58"/>
        <v>PS2_E04_6_L</v>
      </c>
    </row>
    <row r="713" spans="1:13" x14ac:dyDescent="0.25">
      <c r="A713" t="s">
        <v>720</v>
      </c>
      <c r="B713" t="s">
        <v>769</v>
      </c>
      <c r="C713" t="s">
        <v>763</v>
      </c>
      <c r="D713">
        <v>1</v>
      </c>
      <c r="E713" t="s">
        <v>751</v>
      </c>
      <c r="F713" t="s">
        <v>780</v>
      </c>
      <c r="G713" t="str">
        <f t="shared" si="59"/>
        <v>E</v>
      </c>
      <c r="H713">
        <f>_xlfn.XLOOKUP(Table2[[#This Row],[Zone]],Table1[Row],Table1[Max Bay],_xleta.NA,0)</f>
        <v>14</v>
      </c>
      <c r="I713" s="1" t="str">
        <f t="shared" si="55"/>
        <v>03</v>
      </c>
      <c r="J713">
        <f t="shared" si="56"/>
        <v>1</v>
      </c>
      <c r="K713" t="str">
        <f>_xlfn.XLOOKUP(Table2[[#This Row],[Row]],Table1[Row],Table1[StartSide],0)</f>
        <v>R</v>
      </c>
      <c r="L713" t="str">
        <f t="shared" si="57"/>
        <v>L</v>
      </c>
      <c r="M713" t="str">
        <f t="shared" si="58"/>
        <v>PS2_E03_1_L</v>
      </c>
    </row>
    <row r="714" spans="1:13" x14ac:dyDescent="0.25">
      <c r="A714" t="s">
        <v>721</v>
      </c>
      <c r="B714" t="s">
        <v>769</v>
      </c>
      <c r="C714" t="s">
        <v>763</v>
      </c>
      <c r="D714">
        <v>1</v>
      </c>
      <c r="E714" t="s">
        <v>752</v>
      </c>
      <c r="F714" t="s">
        <v>780</v>
      </c>
      <c r="G714" t="str">
        <f t="shared" si="59"/>
        <v>E</v>
      </c>
      <c r="H714">
        <f>_xlfn.XLOOKUP(Table2[[#This Row],[Zone]],Table1[Row],Table1[Max Bay],_xleta.NA,0)</f>
        <v>14</v>
      </c>
      <c r="I714" s="1" t="str">
        <f t="shared" si="55"/>
        <v>03</v>
      </c>
      <c r="J714">
        <f t="shared" si="56"/>
        <v>1</v>
      </c>
      <c r="K714" t="str">
        <f>_xlfn.XLOOKUP(Table2[[#This Row],[Row]],Table1[Row],Table1[StartSide],0)</f>
        <v>R</v>
      </c>
      <c r="L714" t="str">
        <f t="shared" si="57"/>
        <v>R</v>
      </c>
      <c r="M714" t="str">
        <f t="shared" si="58"/>
        <v>PS2_E03_1_R</v>
      </c>
    </row>
    <row r="715" spans="1:13" x14ac:dyDescent="0.25">
      <c r="A715" t="s">
        <v>722</v>
      </c>
      <c r="B715" t="s">
        <v>769</v>
      </c>
      <c r="C715" t="s">
        <v>763</v>
      </c>
      <c r="D715">
        <v>2</v>
      </c>
      <c r="E715" t="s">
        <v>751</v>
      </c>
      <c r="F715" t="s">
        <v>780</v>
      </c>
      <c r="G715" t="str">
        <f t="shared" si="59"/>
        <v>E</v>
      </c>
      <c r="H715">
        <f>_xlfn.XLOOKUP(Table2[[#This Row],[Zone]],Table1[Row],Table1[Max Bay],_xleta.NA,0)</f>
        <v>14</v>
      </c>
      <c r="I715" s="1" t="str">
        <f t="shared" si="55"/>
        <v>03</v>
      </c>
      <c r="J715">
        <f t="shared" si="56"/>
        <v>2</v>
      </c>
      <c r="K715" t="str">
        <f>_xlfn.XLOOKUP(Table2[[#This Row],[Row]],Table1[Row],Table1[StartSide],0)</f>
        <v>R</v>
      </c>
      <c r="L715" t="str">
        <f t="shared" si="57"/>
        <v>L</v>
      </c>
      <c r="M715" t="str">
        <f t="shared" si="58"/>
        <v>PS2_E03_2_L</v>
      </c>
    </row>
    <row r="716" spans="1:13" x14ac:dyDescent="0.25">
      <c r="A716" t="s">
        <v>723</v>
      </c>
      <c r="B716" t="s">
        <v>769</v>
      </c>
      <c r="C716" t="s">
        <v>763</v>
      </c>
      <c r="D716">
        <v>2</v>
      </c>
      <c r="E716" t="s">
        <v>752</v>
      </c>
      <c r="F716" t="s">
        <v>780</v>
      </c>
      <c r="G716" t="str">
        <f t="shared" si="59"/>
        <v>E</v>
      </c>
      <c r="H716">
        <f>_xlfn.XLOOKUP(Table2[[#This Row],[Zone]],Table1[Row],Table1[Max Bay],_xleta.NA,0)</f>
        <v>14</v>
      </c>
      <c r="I716" s="1" t="str">
        <f t="shared" si="55"/>
        <v>03</v>
      </c>
      <c r="J716">
        <f t="shared" si="56"/>
        <v>2</v>
      </c>
      <c r="K716" t="str">
        <f>_xlfn.XLOOKUP(Table2[[#This Row],[Row]],Table1[Row],Table1[StartSide],0)</f>
        <v>R</v>
      </c>
      <c r="L716" t="str">
        <f t="shared" si="57"/>
        <v>R</v>
      </c>
      <c r="M716" t="str">
        <f t="shared" si="58"/>
        <v>PS2_E03_2_R</v>
      </c>
    </row>
    <row r="717" spans="1:13" x14ac:dyDescent="0.25">
      <c r="A717" t="s">
        <v>724</v>
      </c>
      <c r="B717" t="s">
        <v>769</v>
      </c>
      <c r="C717" t="s">
        <v>763</v>
      </c>
      <c r="D717">
        <v>3</v>
      </c>
      <c r="E717" t="s">
        <v>751</v>
      </c>
      <c r="F717" t="s">
        <v>780</v>
      </c>
      <c r="G717" t="str">
        <f t="shared" si="59"/>
        <v>E</v>
      </c>
      <c r="H717">
        <f>_xlfn.XLOOKUP(Table2[[#This Row],[Zone]],Table1[Row],Table1[Max Bay],_xleta.NA,0)</f>
        <v>14</v>
      </c>
      <c r="I717" s="1" t="str">
        <f t="shared" si="55"/>
        <v>03</v>
      </c>
      <c r="J717">
        <f t="shared" si="56"/>
        <v>3</v>
      </c>
      <c r="K717" t="str">
        <f>_xlfn.XLOOKUP(Table2[[#This Row],[Row]],Table1[Row],Table1[StartSide],0)</f>
        <v>R</v>
      </c>
      <c r="L717" t="str">
        <f t="shared" si="57"/>
        <v>L</v>
      </c>
      <c r="M717" t="str">
        <f t="shared" si="58"/>
        <v>PS2_E03_3_L</v>
      </c>
    </row>
    <row r="718" spans="1:13" x14ac:dyDescent="0.25">
      <c r="A718" t="s">
        <v>725</v>
      </c>
      <c r="B718" t="s">
        <v>769</v>
      </c>
      <c r="C718" t="s">
        <v>763</v>
      </c>
      <c r="D718">
        <v>3</v>
      </c>
      <c r="E718" t="s">
        <v>752</v>
      </c>
      <c r="F718" t="s">
        <v>780</v>
      </c>
      <c r="G718" t="str">
        <f t="shared" si="59"/>
        <v>E</v>
      </c>
      <c r="H718">
        <f>_xlfn.XLOOKUP(Table2[[#This Row],[Zone]],Table1[Row],Table1[Max Bay],_xleta.NA,0)</f>
        <v>14</v>
      </c>
      <c r="I718" s="1" t="str">
        <f t="shared" si="55"/>
        <v>03</v>
      </c>
      <c r="J718">
        <f t="shared" si="56"/>
        <v>3</v>
      </c>
      <c r="K718" t="str">
        <f>_xlfn.XLOOKUP(Table2[[#This Row],[Row]],Table1[Row],Table1[StartSide],0)</f>
        <v>R</v>
      </c>
      <c r="L718" t="str">
        <f t="shared" si="57"/>
        <v>R</v>
      </c>
      <c r="M718" t="str">
        <f t="shared" si="58"/>
        <v>PS2_E03_3_R</v>
      </c>
    </row>
    <row r="719" spans="1:13" x14ac:dyDescent="0.25">
      <c r="A719" t="s">
        <v>726</v>
      </c>
      <c r="B719" t="s">
        <v>769</v>
      </c>
      <c r="C719" t="s">
        <v>763</v>
      </c>
      <c r="D719">
        <v>4</v>
      </c>
      <c r="E719" t="s">
        <v>751</v>
      </c>
      <c r="F719" t="s">
        <v>780</v>
      </c>
      <c r="G719" t="str">
        <f t="shared" si="59"/>
        <v>E</v>
      </c>
      <c r="H719">
        <f>_xlfn.XLOOKUP(Table2[[#This Row],[Zone]],Table1[Row],Table1[Max Bay],_xleta.NA,0)</f>
        <v>14</v>
      </c>
      <c r="I719" s="1" t="str">
        <f t="shared" si="55"/>
        <v>03</v>
      </c>
      <c r="J719">
        <f t="shared" si="56"/>
        <v>4</v>
      </c>
      <c r="K719" t="str">
        <f>_xlfn.XLOOKUP(Table2[[#This Row],[Row]],Table1[Row],Table1[StartSide],0)</f>
        <v>R</v>
      </c>
      <c r="L719" t="str">
        <f t="shared" si="57"/>
        <v>L</v>
      </c>
      <c r="M719" t="str">
        <f t="shared" si="58"/>
        <v>PS2_E03_4_L</v>
      </c>
    </row>
    <row r="720" spans="1:13" x14ac:dyDescent="0.25">
      <c r="A720" t="s">
        <v>727</v>
      </c>
      <c r="B720" t="s">
        <v>769</v>
      </c>
      <c r="C720" t="s">
        <v>763</v>
      </c>
      <c r="D720">
        <v>4</v>
      </c>
      <c r="E720" t="s">
        <v>752</v>
      </c>
      <c r="F720" t="s">
        <v>780</v>
      </c>
      <c r="G720" t="str">
        <f t="shared" si="59"/>
        <v>E</v>
      </c>
      <c r="H720">
        <f>_xlfn.XLOOKUP(Table2[[#This Row],[Zone]],Table1[Row],Table1[Max Bay],_xleta.NA,0)</f>
        <v>14</v>
      </c>
      <c r="I720" s="1" t="str">
        <f t="shared" si="55"/>
        <v>03</v>
      </c>
      <c r="J720">
        <f t="shared" si="56"/>
        <v>4</v>
      </c>
      <c r="K720" t="str">
        <f>_xlfn.XLOOKUP(Table2[[#This Row],[Row]],Table1[Row],Table1[StartSide],0)</f>
        <v>R</v>
      </c>
      <c r="L720" t="str">
        <f t="shared" si="57"/>
        <v>R</v>
      </c>
      <c r="M720" t="str">
        <f t="shared" si="58"/>
        <v>PS2_E03_4_R</v>
      </c>
    </row>
    <row r="721" spans="1:13" x14ac:dyDescent="0.25">
      <c r="A721" t="s">
        <v>728</v>
      </c>
      <c r="B721" t="s">
        <v>769</v>
      </c>
      <c r="C721" t="s">
        <v>763</v>
      </c>
      <c r="D721">
        <v>5</v>
      </c>
      <c r="E721" t="s">
        <v>751</v>
      </c>
      <c r="F721" t="s">
        <v>780</v>
      </c>
      <c r="G721" t="str">
        <f t="shared" si="59"/>
        <v>E</v>
      </c>
      <c r="H721">
        <f>_xlfn.XLOOKUP(Table2[[#This Row],[Zone]],Table1[Row],Table1[Max Bay],_xleta.NA,0)</f>
        <v>14</v>
      </c>
      <c r="I721" s="1" t="str">
        <f t="shared" si="55"/>
        <v>03</v>
      </c>
      <c r="J721">
        <f t="shared" si="56"/>
        <v>5</v>
      </c>
      <c r="K721" t="str">
        <f>_xlfn.XLOOKUP(Table2[[#This Row],[Row]],Table1[Row],Table1[StartSide],0)</f>
        <v>R</v>
      </c>
      <c r="L721" t="str">
        <f t="shared" si="57"/>
        <v>L</v>
      </c>
      <c r="M721" t="str">
        <f t="shared" si="58"/>
        <v>PS2_E03_5_L</v>
      </c>
    </row>
    <row r="722" spans="1:13" x14ac:dyDescent="0.25">
      <c r="A722" t="s">
        <v>729</v>
      </c>
      <c r="B722" t="s">
        <v>769</v>
      </c>
      <c r="C722" t="s">
        <v>763</v>
      </c>
      <c r="D722">
        <v>5</v>
      </c>
      <c r="E722" t="s">
        <v>752</v>
      </c>
      <c r="F722" t="s">
        <v>780</v>
      </c>
      <c r="G722" t="str">
        <f t="shared" si="59"/>
        <v>E</v>
      </c>
      <c r="H722">
        <f>_xlfn.XLOOKUP(Table2[[#This Row],[Zone]],Table1[Row],Table1[Max Bay],_xleta.NA,0)</f>
        <v>14</v>
      </c>
      <c r="I722" s="1" t="str">
        <f t="shared" si="55"/>
        <v>03</v>
      </c>
      <c r="J722">
        <f t="shared" si="56"/>
        <v>5</v>
      </c>
      <c r="K722" t="str">
        <f>_xlfn.XLOOKUP(Table2[[#This Row],[Row]],Table1[Row],Table1[StartSide],0)</f>
        <v>R</v>
      </c>
      <c r="L722" t="str">
        <f t="shared" si="57"/>
        <v>R</v>
      </c>
      <c r="M722" t="str">
        <f t="shared" si="58"/>
        <v>PS2_E03_5_R</v>
      </c>
    </row>
    <row r="723" spans="1:13" x14ac:dyDescent="0.25">
      <c r="A723" t="s">
        <v>730</v>
      </c>
      <c r="B723" t="s">
        <v>769</v>
      </c>
      <c r="C723" t="s">
        <v>763</v>
      </c>
      <c r="D723">
        <v>6</v>
      </c>
      <c r="E723" t="s">
        <v>751</v>
      </c>
      <c r="F723" t="s">
        <v>780</v>
      </c>
      <c r="G723" t="str">
        <f t="shared" si="59"/>
        <v>E</v>
      </c>
      <c r="H723">
        <f>_xlfn.XLOOKUP(Table2[[#This Row],[Zone]],Table1[Row],Table1[Max Bay],_xleta.NA,0)</f>
        <v>14</v>
      </c>
      <c r="I723" s="1" t="str">
        <f t="shared" si="55"/>
        <v>03</v>
      </c>
      <c r="J723">
        <f t="shared" si="56"/>
        <v>6</v>
      </c>
      <c r="K723" t="str">
        <f>_xlfn.XLOOKUP(Table2[[#This Row],[Row]],Table1[Row],Table1[StartSide],0)</f>
        <v>R</v>
      </c>
      <c r="L723" t="str">
        <f t="shared" si="57"/>
        <v>L</v>
      </c>
      <c r="M723" t="str">
        <f t="shared" si="58"/>
        <v>PS2_E03_6_L</v>
      </c>
    </row>
    <row r="724" spans="1:13" x14ac:dyDescent="0.25">
      <c r="A724" t="s">
        <v>731</v>
      </c>
      <c r="B724" t="s">
        <v>769</v>
      </c>
      <c r="C724" t="s">
        <v>763</v>
      </c>
      <c r="D724">
        <v>6</v>
      </c>
      <c r="E724" t="s">
        <v>752</v>
      </c>
      <c r="F724" t="s">
        <v>780</v>
      </c>
      <c r="G724" t="str">
        <f t="shared" si="59"/>
        <v>E</v>
      </c>
      <c r="H724">
        <f>_xlfn.XLOOKUP(Table2[[#This Row],[Zone]],Table1[Row],Table1[Max Bay],_xleta.NA,0)</f>
        <v>14</v>
      </c>
      <c r="I724" s="1" t="str">
        <f t="shared" si="55"/>
        <v>03</v>
      </c>
      <c r="J724">
        <f t="shared" si="56"/>
        <v>6</v>
      </c>
      <c r="K724" t="str">
        <f>_xlfn.XLOOKUP(Table2[[#This Row],[Row]],Table1[Row],Table1[StartSide],0)</f>
        <v>R</v>
      </c>
      <c r="L724" t="str">
        <f t="shared" si="57"/>
        <v>R</v>
      </c>
      <c r="M724" t="str">
        <f t="shared" si="58"/>
        <v>PS2_E03_6_R</v>
      </c>
    </row>
    <row r="725" spans="1:13" x14ac:dyDescent="0.25">
      <c r="A725" t="s">
        <v>732</v>
      </c>
      <c r="B725" t="s">
        <v>769</v>
      </c>
      <c r="C725" t="s">
        <v>767</v>
      </c>
      <c r="D725">
        <v>4</v>
      </c>
      <c r="E725" t="s">
        <v>751</v>
      </c>
      <c r="F725" t="s">
        <v>780</v>
      </c>
      <c r="G725" t="str">
        <f t="shared" si="59"/>
        <v>E</v>
      </c>
      <c r="H725">
        <f>_xlfn.XLOOKUP(Table2[[#This Row],[Zone]],Table1[Row],Table1[Max Bay],_xleta.NA,0)</f>
        <v>14</v>
      </c>
      <c r="I725" s="1" t="str">
        <f t="shared" si="55"/>
        <v>02</v>
      </c>
      <c r="J725">
        <f t="shared" si="56"/>
        <v>4</v>
      </c>
      <c r="K725" t="str">
        <f>_xlfn.XLOOKUP(Table2[[#This Row],[Row]],Table1[Row],Table1[StartSide],0)</f>
        <v>R</v>
      </c>
      <c r="L725" t="str">
        <f t="shared" si="57"/>
        <v>L</v>
      </c>
      <c r="M725" t="str">
        <f t="shared" si="58"/>
        <v>PS2_E02_4_L</v>
      </c>
    </row>
    <row r="726" spans="1:13" x14ac:dyDescent="0.25">
      <c r="A726" t="s">
        <v>733</v>
      </c>
      <c r="B726" t="s">
        <v>769</v>
      </c>
      <c r="C726" t="s">
        <v>767</v>
      </c>
      <c r="D726">
        <v>4</v>
      </c>
      <c r="E726" t="s">
        <v>752</v>
      </c>
      <c r="F726" t="s">
        <v>780</v>
      </c>
      <c r="G726" t="str">
        <f t="shared" si="59"/>
        <v>E</v>
      </c>
      <c r="H726">
        <f>_xlfn.XLOOKUP(Table2[[#This Row],[Zone]],Table1[Row],Table1[Max Bay],_xleta.NA,0)</f>
        <v>14</v>
      </c>
      <c r="I726" s="1" t="str">
        <f t="shared" si="55"/>
        <v>02</v>
      </c>
      <c r="J726">
        <f t="shared" si="56"/>
        <v>4</v>
      </c>
      <c r="K726" t="str">
        <f>_xlfn.XLOOKUP(Table2[[#This Row],[Row]],Table1[Row],Table1[StartSide],0)</f>
        <v>R</v>
      </c>
      <c r="L726" t="str">
        <f t="shared" si="57"/>
        <v>R</v>
      </c>
      <c r="M726" t="str">
        <f t="shared" si="58"/>
        <v>PS2_E02_4_R</v>
      </c>
    </row>
    <row r="727" spans="1:13" x14ac:dyDescent="0.25">
      <c r="A727" t="s">
        <v>734</v>
      </c>
      <c r="B727" t="s">
        <v>769</v>
      </c>
      <c r="C727" t="s">
        <v>767</v>
      </c>
      <c r="D727">
        <v>5</v>
      </c>
      <c r="E727" t="s">
        <v>751</v>
      </c>
      <c r="F727" t="s">
        <v>780</v>
      </c>
      <c r="G727" t="str">
        <f t="shared" si="59"/>
        <v>E</v>
      </c>
      <c r="H727">
        <f>_xlfn.XLOOKUP(Table2[[#This Row],[Zone]],Table1[Row],Table1[Max Bay],_xleta.NA,0)</f>
        <v>14</v>
      </c>
      <c r="I727" s="1" t="str">
        <f t="shared" si="55"/>
        <v>02</v>
      </c>
      <c r="J727">
        <f t="shared" si="56"/>
        <v>5</v>
      </c>
      <c r="K727" t="str">
        <f>_xlfn.XLOOKUP(Table2[[#This Row],[Row]],Table1[Row],Table1[StartSide],0)</f>
        <v>R</v>
      </c>
      <c r="L727" t="str">
        <f t="shared" si="57"/>
        <v>L</v>
      </c>
      <c r="M727" t="str">
        <f t="shared" si="58"/>
        <v>PS2_E02_5_L</v>
      </c>
    </row>
    <row r="728" spans="1:13" x14ac:dyDescent="0.25">
      <c r="A728" t="s">
        <v>735</v>
      </c>
      <c r="B728" t="s">
        <v>769</v>
      </c>
      <c r="C728" t="s">
        <v>767</v>
      </c>
      <c r="D728">
        <v>5</v>
      </c>
      <c r="E728" t="s">
        <v>752</v>
      </c>
      <c r="F728" t="s">
        <v>780</v>
      </c>
      <c r="G728" t="str">
        <f t="shared" si="59"/>
        <v>E</v>
      </c>
      <c r="H728">
        <f>_xlfn.XLOOKUP(Table2[[#This Row],[Zone]],Table1[Row],Table1[Max Bay],_xleta.NA,0)</f>
        <v>14</v>
      </c>
      <c r="I728" s="1" t="str">
        <f t="shared" si="55"/>
        <v>02</v>
      </c>
      <c r="J728">
        <f t="shared" si="56"/>
        <v>5</v>
      </c>
      <c r="K728" t="str">
        <f>_xlfn.XLOOKUP(Table2[[#This Row],[Row]],Table1[Row],Table1[StartSide],0)</f>
        <v>R</v>
      </c>
      <c r="L728" t="str">
        <f t="shared" si="57"/>
        <v>R</v>
      </c>
      <c r="M728" t="str">
        <f t="shared" si="58"/>
        <v>PS2_E02_5_R</v>
      </c>
    </row>
    <row r="729" spans="1:13" x14ac:dyDescent="0.25">
      <c r="A729" t="s">
        <v>736</v>
      </c>
      <c r="B729" t="s">
        <v>769</v>
      </c>
      <c r="C729" t="s">
        <v>767</v>
      </c>
      <c r="D729">
        <v>6</v>
      </c>
      <c r="E729" t="s">
        <v>752</v>
      </c>
      <c r="F729" t="s">
        <v>780</v>
      </c>
      <c r="G729" t="str">
        <f t="shared" si="59"/>
        <v>E</v>
      </c>
      <c r="H729">
        <f>_xlfn.XLOOKUP(Table2[[#This Row],[Zone]],Table1[Row],Table1[Max Bay],_xleta.NA,0)</f>
        <v>14</v>
      </c>
      <c r="I729" s="1" t="str">
        <f t="shared" si="55"/>
        <v>02</v>
      </c>
      <c r="J729">
        <f t="shared" si="56"/>
        <v>6</v>
      </c>
      <c r="K729" t="str">
        <f>_xlfn.XLOOKUP(Table2[[#This Row],[Row]],Table1[Row],Table1[StartSide],0)</f>
        <v>R</v>
      </c>
      <c r="L729" t="str">
        <f t="shared" si="57"/>
        <v>R</v>
      </c>
      <c r="M729" t="str">
        <f t="shared" si="58"/>
        <v>PS2_E02_6_R</v>
      </c>
    </row>
    <row r="730" spans="1:13" x14ac:dyDescent="0.25">
      <c r="A730" t="s">
        <v>737</v>
      </c>
      <c r="B730" t="s">
        <v>769</v>
      </c>
      <c r="C730" t="s">
        <v>768</v>
      </c>
      <c r="D730">
        <v>1</v>
      </c>
      <c r="E730" t="s">
        <v>751</v>
      </c>
      <c r="F730" t="s">
        <v>780</v>
      </c>
      <c r="G730" t="str">
        <f t="shared" si="59"/>
        <v>E</v>
      </c>
      <c r="H730">
        <f>_xlfn.XLOOKUP(Table2[[#This Row],[Zone]],Table1[Row],Table1[Max Bay],_xleta.NA,0)</f>
        <v>14</v>
      </c>
      <c r="I730" s="1" t="str">
        <f t="shared" si="55"/>
        <v>01</v>
      </c>
      <c r="J730">
        <f t="shared" si="56"/>
        <v>1</v>
      </c>
      <c r="K730" t="str">
        <f>_xlfn.XLOOKUP(Table2[[#This Row],[Row]],Table1[Row],Table1[StartSide],0)</f>
        <v>R</v>
      </c>
      <c r="L730" t="str">
        <f t="shared" si="57"/>
        <v>L</v>
      </c>
      <c r="M730" t="str">
        <f t="shared" si="58"/>
        <v>PS2_E01_1_L</v>
      </c>
    </row>
    <row r="731" spans="1:13" x14ac:dyDescent="0.25">
      <c r="A731" t="s">
        <v>738</v>
      </c>
      <c r="B731" t="s">
        <v>769</v>
      </c>
      <c r="C731" t="s">
        <v>768</v>
      </c>
      <c r="D731">
        <v>1</v>
      </c>
      <c r="E731" t="s">
        <v>752</v>
      </c>
      <c r="F731" t="s">
        <v>780</v>
      </c>
      <c r="G731" t="str">
        <f t="shared" si="59"/>
        <v>E</v>
      </c>
      <c r="H731">
        <f>_xlfn.XLOOKUP(Table2[[#This Row],[Zone]],Table1[Row],Table1[Max Bay],_xleta.NA,0)</f>
        <v>14</v>
      </c>
      <c r="I731" s="1" t="str">
        <f t="shared" si="55"/>
        <v>01</v>
      </c>
      <c r="J731">
        <f t="shared" si="56"/>
        <v>1</v>
      </c>
      <c r="K731" t="str">
        <f>_xlfn.XLOOKUP(Table2[[#This Row],[Row]],Table1[Row],Table1[StartSide],0)</f>
        <v>R</v>
      </c>
      <c r="L731" t="str">
        <f t="shared" si="57"/>
        <v>R</v>
      </c>
      <c r="M731" t="str">
        <f t="shared" si="58"/>
        <v>PS2_E01_1_R</v>
      </c>
    </row>
    <row r="732" spans="1:13" x14ac:dyDescent="0.25">
      <c r="A732" t="s">
        <v>739</v>
      </c>
      <c r="B732" t="s">
        <v>769</v>
      </c>
      <c r="C732" t="s">
        <v>768</v>
      </c>
      <c r="D732">
        <v>2</v>
      </c>
      <c r="E732" t="s">
        <v>751</v>
      </c>
      <c r="F732" t="s">
        <v>780</v>
      </c>
      <c r="G732" t="str">
        <f t="shared" si="59"/>
        <v>E</v>
      </c>
      <c r="H732">
        <f>_xlfn.XLOOKUP(Table2[[#This Row],[Zone]],Table1[Row],Table1[Max Bay],_xleta.NA,0)</f>
        <v>14</v>
      </c>
      <c r="I732" s="1" t="str">
        <f t="shared" si="55"/>
        <v>01</v>
      </c>
      <c r="J732">
        <f t="shared" si="56"/>
        <v>2</v>
      </c>
      <c r="K732" t="str">
        <f>_xlfn.XLOOKUP(Table2[[#This Row],[Row]],Table1[Row],Table1[StartSide],0)</f>
        <v>R</v>
      </c>
      <c r="L732" t="str">
        <f t="shared" si="57"/>
        <v>L</v>
      </c>
      <c r="M732" t="str">
        <f t="shared" si="58"/>
        <v>PS2_E01_2_L</v>
      </c>
    </row>
    <row r="733" spans="1:13" x14ac:dyDescent="0.25">
      <c r="A733" t="s">
        <v>740</v>
      </c>
      <c r="B733" t="s">
        <v>769</v>
      </c>
      <c r="C733" t="s">
        <v>768</v>
      </c>
      <c r="D733">
        <v>2</v>
      </c>
      <c r="E733" t="s">
        <v>752</v>
      </c>
      <c r="F733" t="s">
        <v>780</v>
      </c>
      <c r="G733" t="str">
        <f t="shared" si="59"/>
        <v>E</v>
      </c>
      <c r="H733">
        <f>_xlfn.XLOOKUP(Table2[[#This Row],[Zone]],Table1[Row],Table1[Max Bay],_xleta.NA,0)</f>
        <v>14</v>
      </c>
      <c r="I733" s="1" t="str">
        <f t="shared" si="55"/>
        <v>01</v>
      </c>
      <c r="J733">
        <f t="shared" si="56"/>
        <v>2</v>
      </c>
      <c r="K733" t="str">
        <f>_xlfn.XLOOKUP(Table2[[#This Row],[Row]],Table1[Row],Table1[StartSide],0)</f>
        <v>R</v>
      </c>
      <c r="L733" t="str">
        <f t="shared" si="57"/>
        <v>R</v>
      </c>
      <c r="M733" t="str">
        <f t="shared" si="58"/>
        <v>PS2_E01_2_R</v>
      </c>
    </row>
    <row r="734" spans="1:13" x14ac:dyDescent="0.25">
      <c r="A734" t="s">
        <v>741</v>
      </c>
      <c r="B734" t="s">
        <v>769</v>
      </c>
      <c r="C734" t="s">
        <v>768</v>
      </c>
      <c r="D734">
        <v>3</v>
      </c>
      <c r="E734" t="s">
        <v>751</v>
      </c>
      <c r="F734" t="s">
        <v>780</v>
      </c>
      <c r="G734" t="str">
        <f t="shared" si="59"/>
        <v>E</v>
      </c>
      <c r="H734">
        <f>_xlfn.XLOOKUP(Table2[[#This Row],[Zone]],Table1[Row],Table1[Max Bay],_xleta.NA,0)</f>
        <v>14</v>
      </c>
      <c r="I734" s="1" t="str">
        <f t="shared" si="55"/>
        <v>01</v>
      </c>
      <c r="J734">
        <f t="shared" si="56"/>
        <v>3</v>
      </c>
      <c r="K734" t="str">
        <f>_xlfn.XLOOKUP(Table2[[#This Row],[Row]],Table1[Row],Table1[StartSide],0)</f>
        <v>R</v>
      </c>
      <c r="L734" t="str">
        <f t="shared" si="57"/>
        <v>L</v>
      </c>
      <c r="M734" t="str">
        <f t="shared" si="58"/>
        <v>PS2_E01_3_L</v>
      </c>
    </row>
    <row r="735" spans="1:13" x14ac:dyDescent="0.25">
      <c r="A735" t="s">
        <v>742</v>
      </c>
      <c r="B735" t="s">
        <v>769</v>
      </c>
      <c r="C735" t="s">
        <v>768</v>
      </c>
      <c r="D735">
        <v>3</v>
      </c>
      <c r="E735" t="s">
        <v>752</v>
      </c>
      <c r="F735" t="s">
        <v>780</v>
      </c>
      <c r="G735" t="str">
        <f t="shared" si="59"/>
        <v>E</v>
      </c>
      <c r="H735">
        <f>_xlfn.XLOOKUP(Table2[[#This Row],[Zone]],Table1[Row],Table1[Max Bay],_xleta.NA,0)</f>
        <v>14</v>
      </c>
      <c r="I735" s="1" t="str">
        <f t="shared" si="55"/>
        <v>01</v>
      </c>
      <c r="J735">
        <f t="shared" si="56"/>
        <v>3</v>
      </c>
      <c r="K735" t="str">
        <f>_xlfn.XLOOKUP(Table2[[#This Row],[Row]],Table1[Row],Table1[StartSide],0)</f>
        <v>R</v>
      </c>
      <c r="L735" t="str">
        <f t="shared" si="57"/>
        <v>R</v>
      </c>
      <c r="M735" t="str">
        <f t="shared" si="58"/>
        <v>PS2_E01_3_R</v>
      </c>
    </row>
    <row r="736" spans="1:13" x14ac:dyDescent="0.25">
      <c r="A736" t="s">
        <v>743</v>
      </c>
      <c r="B736" t="s">
        <v>769</v>
      </c>
      <c r="C736" t="s">
        <v>768</v>
      </c>
      <c r="D736">
        <v>4</v>
      </c>
      <c r="E736" t="s">
        <v>751</v>
      </c>
      <c r="F736" t="s">
        <v>780</v>
      </c>
      <c r="G736" t="str">
        <f t="shared" si="59"/>
        <v>E</v>
      </c>
      <c r="H736">
        <f>_xlfn.XLOOKUP(Table2[[#This Row],[Zone]],Table1[Row],Table1[Max Bay],_xleta.NA,0)</f>
        <v>14</v>
      </c>
      <c r="I736" s="1" t="str">
        <f t="shared" si="55"/>
        <v>01</v>
      </c>
      <c r="J736">
        <f t="shared" si="56"/>
        <v>4</v>
      </c>
      <c r="K736" t="str">
        <f>_xlfn.XLOOKUP(Table2[[#This Row],[Row]],Table1[Row],Table1[StartSide],0)</f>
        <v>R</v>
      </c>
      <c r="L736" t="str">
        <f t="shared" si="57"/>
        <v>L</v>
      </c>
      <c r="M736" t="str">
        <f t="shared" si="58"/>
        <v>PS2_E01_4_L</v>
      </c>
    </row>
    <row r="737" spans="1:13" x14ac:dyDescent="0.25">
      <c r="A737" t="s">
        <v>744</v>
      </c>
      <c r="B737" t="s">
        <v>769</v>
      </c>
      <c r="C737" t="s">
        <v>768</v>
      </c>
      <c r="D737">
        <v>4</v>
      </c>
      <c r="E737" t="s">
        <v>752</v>
      </c>
      <c r="F737" t="s">
        <v>780</v>
      </c>
      <c r="G737" t="str">
        <f t="shared" si="59"/>
        <v>E</v>
      </c>
      <c r="H737">
        <f>_xlfn.XLOOKUP(Table2[[#This Row],[Zone]],Table1[Row],Table1[Max Bay],_xleta.NA,0)</f>
        <v>14</v>
      </c>
      <c r="I737" s="1" t="str">
        <f t="shared" si="55"/>
        <v>01</v>
      </c>
      <c r="J737">
        <f t="shared" si="56"/>
        <v>4</v>
      </c>
      <c r="K737" t="str">
        <f>_xlfn.XLOOKUP(Table2[[#This Row],[Row]],Table1[Row],Table1[StartSide],0)</f>
        <v>R</v>
      </c>
      <c r="L737" t="str">
        <f t="shared" si="57"/>
        <v>R</v>
      </c>
      <c r="M737" t="str">
        <f t="shared" si="58"/>
        <v>PS2_E01_4_R</v>
      </c>
    </row>
    <row r="738" spans="1:13" x14ac:dyDescent="0.25">
      <c r="A738" t="s">
        <v>745</v>
      </c>
      <c r="B738" t="s">
        <v>769</v>
      </c>
      <c r="C738" t="s">
        <v>768</v>
      </c>
      <c r="D738">
        <v>5</v>
      </c>
      <c r="E738" t="s">
        <v>751</v>
      </c>
      <c r="F738" t="s">
        <v>780</v>
      </c>
      <c r="G738" t="str">
        <f t="shared" si="59"/>
        <v>E</v>
      </c>
      <c r="H738">
        <f>_xlfn.XLOOKUP(Table2[[#This Row],[Zone]],Table1[Row],Table1[Max Bay],_xleta.NA,0)</f>
        <v>14</v>
      </c>
      <c r="I738" s="1" t="str">
        <f t="shared" si="55"/>
        <v>01</v>
      </c>
      <c r="J738">
        <f t="shared" si="56"/>
        <v>5</v>
      </c>
      <c r="K738" t="str">
        <f>_xlfn.XLOOKUP(Table2[[#This Row],[Row]],Table1[Row],Table1[StartSide],0)</f>
        <v>R</v>
      </c>
      <c r="L738" t="str">
        <f t="shared" si="57"/>
        <v>L</v>
      </c>
      <c r="M738" t="str">
        <f t="shared" si="58"/>
        <v>PS2_E01_5_L</v>
      </c>
    </row>
    <row r="739" spans="1:13" x14ac:dyDescent="0.25">
      <c r="A739" t="s">
        <v>746</v>
      </c>
      <c r="B739" t="s">
        <v>769</v>
      </c>
      <c r="C739" t="s">
        <v>768</v>
      </c>
      <c r="D739">
        <v>5</v>
      </c>
      <c r="E739" t="s">
        <v>752</v>
      </c>
      <c r="F739" t="s">
        <v>780</v>
      </c>
      <c r="G739" t="str">
        <f t="shared" si="59"/>
        <v>E</v>
      </c>
      <c r="H739">
        <f>_xlfn.XLOOKUP(Table2[[#This Row],[Zone]],Table1[Row],Table1[Max Bay],_xleta.NA,0)</f>
        <v>14</v>
      </c>
      <c r="I739" s="1" t="str">
        <f t="shared" si="55"/>
        <v>01</v>
      </c>
      <c r="J739">
        <f t="shared" si="56"/>
        <v>5</v>
      </c>
      <c r="K739" t="str">
        <f>_xlfn.XLOOKUP(Table2[[#This Row],[Row]],Table1[Row],Table1[StartSide],0)</f>
        <v>R</v>
      </c>
      <c r="L739" t="str">
        <f t="shared" si="57"/>
        <v>R</v>
      </c>
      <c r="M739" t="str">
        <f t="shared" si="58"/>
        <v>PS2_E01_5_R</v>
      </c>
    </row>
    <row r="740" spans="1:13" x14ac:dyDescent="0.25">
      <c r="A740" t="s">
        <v>747</v>
      </c>
      <c r="B740" t="s">
        <v>769</v>
      </c>
      <c r="C740" t="s">
        <v>768</v>
      </c>
      <c r="D740">
        <v>6</v>
      </c>
      <c r="E740" t="s">
        <v>751</v>
      </c>
      <c r="F740" t="s">
        <v>780</v>
      </c>
      <c r="G740" t="str">
        <f t="shared" si="59"/>
        <v>E</v>
      </c>
      <c r="H740">
        <f>_xlfn.XLOOKUP(Table2[[#This Row],[Zone]],Table1[Row],Table1[Max Bay],_xleta.NA,0)</f>
        <v>14</v>
      </c>
      <c r="I740" s="1" t="str">
        <f t="shared" si="55"/>
        <v>01</v>
      </c>
      <c r="J740">
        <f t="shared" si="56"/>
        <v>6</v>
      </c>
      <c r="K740" t="str">
        <f>_xlfn.XLOOKUP(Table2[[#This Row],[Row]],Table1[Row],Table1[StartSide],0)</f>
        <v>R</v>
      </c>
      <c r="L740" t="str">
        <f t="shared" si="57"/>
        <v>L</v>
      </c>
      <c r="M740" t="str">
        <f t="shared" si="58"/>
        <v>PS2_E01_6_L</v>
      </c>
    </row>
    <row r="741" spans="1:13" x14ac:dyDescent="0.25">
      <c r="A741" t="s">
        <v>748</v>
      </c>
      <c r="B741" t="s">
        <v>769</v>
      </c>
      <c r="C741" t="s">
        <v>768</v>
      </c>
      <c r="D741">
        <v>6</v>
      </c>
      <c r="E741" t="s">
        <v>752</v>
      </c>
      <c r="F741" t="s">
        <v>780</v>
      </c>
      <c r="G741" t="str">
        <f t="shared" si="59"/>
        <v>E</v>
      </c>
      <c r="H741">
        <f>_xlfn.XLOOKUP(Table2[[#This Row],[Zone]],Table1[Row],Table1[Max Bay],_xleta.NA,0)</f>
        <v>14</v>
      </c>
      <c r="I741" s="1" t="str">
        <f t="shared" si="55"/>
        <v>01</v>
      </c>
      <c r="J741">
        <f t="shared" si="56"/>
        <v>6</v>
      </c>
      <c r="K741" t="str">
        <f>_xlfn.XLOOKUP(Table2[[#This Row],[Row]],Table1[Row],Table1[StartSide],0)</f>
        <v>R</v>
      </c>
      <c r="L741" t="str">
        <f t="shared" si="57"/>
        <v>R</v>
      </c>
      <c r="M741" t="str">
        <f t="shared" si="58"/>
        <v>PS2_E01_6_R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0033-28A1-4B0E-8995-2FB97066B143}">
  <dimension ref="B2:D13"/>
  <sheetViews>
    <sheetView workbookViewId="0">
      <selection activeCell="I8" sqref="I8"/>
    </sheetView>
  </sheetViews>
  <sheetFormatPr defaultRowHeight="15" x14ac:dyDescent="0.25"/>
  <cols>
    <col min="3" max="3" width="10.28515625" customWidth="1"/>
  </cols>
  <sheetData>
    <row r="2" spans="2:4" x14ac:dyDescent="0.25">
      <c r="B2" t="s">
        <v>1</v>
      </c>
      <c r="C2" t="s">
        <v>770</v>
      </c>
      <c r="D2" t="s">
        <v>781</v>
      </c>
    </row>
    <row r="3" spans="2:4" x14ac:dyDescent="0.25">
      <c r="B3" t="s">
        <v>749</v>
      </c>
      <c r="C3">
        <v>12</v>
      </c>
      <c r="D3" s="2" t="s">
        <v>752</v>
      </c>
    </row>
    <row r="4" spans="2:4" x14ac:dyDescent="0.25">
      <c r="B4" t="s">
        <v>764</v>
      </c>
      <c r="C4">
        <v>12</v>
      </c>
      <c r="D4" s="2" t="s">
        <v>751</v>
      </c>
    </row>
    <row r="5" spans="2:4" x14ac:dyDescent="0.25">
      <c r="B5" t="s">
        <v>765</v>
      </c>
      <c r="C5">
        <v>14</v>
      </c>
      <c r="D5" s="2" t="s">
        <v>752</v>
      </c>
    </row>
    <row r="6" spans="2:4" x14ac:dyDescent="0.25">
      <c r="B6" t="s">
        <v>766</v>
      </c>
      <c r="C6">
        <v>14</v>
      </c>
      <c r="D6" s="2" t="s">
        <v>751</v>
      </c>
    </row>
    <row r="7" spans="2:4" x14ac:dyDescent="0.25">
      <c r="B7" t="s">
        <v>769</v>
      </c>
      <c r="C7">
        <v>14</v>
      </c>
      <c r="D7" s="2" t="s">
        <v>752</v>
      </c>
    </row>
    <row r="8" spans="2:4" x14ac:dyDescent="0.25">
      <c r="B8" t="s">
        <v>771</v>
      </c>
      <c r="C8">
        <v>5</v>
      </c>
      <c r="D8" s="2" t="s">
        <v>752</v>
      </c>
    </row>
    <row r="9" spans="2:4" x14ac:dyDescent="0.25">
      <c r="B9" t="s">
        <v>772</v>
      </c>
      <c r="C9">
        <v>5</v>
      </c>
      <c r="D9" s="2" t="s">
        <v>751</v>
      </c>
    </row>
    <row r="10" spans="2:4" x14ac:dyDescent="0.25">
      <c r="B10" t="s">
        <v>773</v>
      </c>
      <c r="C10">
        <v>5</v>
      </c>
      <c r="D10" s="2" t="s">
        <v>752</v>
      </c>
    </row>
    <row r="11" spans="2:4" x14ac:dyDescent="0.25">
      <c r="B11" t="s">
        <v>774</v>
      </c>
      <c r="C11">
        <v>5</v>
      </c>
      <c r="D11" s="2" t="s">
        <v>751</v>
      </c>
    </row>
    <row r="12" spans="2:4" x14ac:dyDescent="0.25">
      <c r="B12" t="s">
        <v>775</v>
      </c>
      <c r="C12">
        <v>5</v>
      </c>
      <c r="D12" s="2" t="s">
        <v>752</v>
      </c>
    </row>
    <row r="13" spans="2:4" x14ac:dyDescent="0.25">
      <c r="B13" t="s">
        <v>776</v>
      </c>
      <c r="C13">
        <v>5</v>
      </c>
      <c r="D13" s="2" t="s">
        <v>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NewPosition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STGT Aussadach Masun</dc:creator>
  <cp:lastModifiedBy>STGT Aussadach Masun</cp:lastModifiedBy>
  <dcterms:created xsi:type="dcterms:W3CDTF">2026-01-16T08:27:39Z</dcterms:created>
  <dcterms:modified xsi:type="dcterms:W3CDTF">2026-01-16T09:29:09Z</dcterms:modified>
</cp:coreProperties>
</file>